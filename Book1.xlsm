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ffece\"/>
    </mc:Choice>
  </mc:AlternateContent>
  <xr:revisionPtr revIDLastSave="0" documentId="8_{A2C429E3-446A-4AC8-AFC8-AFF24B25C215}" xr6:coauthVersionLast="47" xr6:coauthVersionMax="47" xr10:uidLastSave="{00000000-0000-0000-0000-000000000000}"/>
  <bookViews>
    <workbookView xWindow="-110" yWindow="-110" windowWidth="19420" windowHeight="10660" xr2:uid="{29555B11-69F0-4159-8706-9B6E8FD23C71}"/>
  </bookViews>
  <sheets>
    <sheet name="Sheet1" sheetId="1" r:id="rId1"/>
    <sheet name="Sheet5" sheetId="6" r:id="rId2"/>
    <sheet name="Sheet4" sheetId="4" r:id="rId3"/>
    <sheet name="Detail1" sheetId="5" r:id="rId4"/>
    <sheet name="Sheet3" sheetId="3" r:id="rId5"/>
    <sheet name="Sheet2" sheetId="2" r:id="rId6"/>
  </sheets>
  <definedNames>
    <definedName name="_xlcn.WorksheetConnection_Book1.xlsmTable11" hidden="1">Table1</definedName>
    <definedName name="_xlcn.WorksheetConnection_Book1.xlsmTable21" hidden="1">Table2[]</definedName>
  </definedNames>
  <calcPr calcId="191029" calcMode="autoNoTable"/>
  <pivotCaches>
    <pivotCache cacheId="0" r:id="rId7"/>
    <pivotCache cacheId="1" r:id="rId8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Book1.xlsm!Table2"/>
          <x15:modelTable id="Table1" name="Table1" connection="WorksheetConnection_Book1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" l="1"/>
  <c r="B18" i="1"/>
  <c r="D18" i="1"/>
  <c r="F16" i="1"/>
  <c r="F6" i="6"/>
  <c r="F7" i="6"/>
  <c r="E16" i="1"/>
  <c r="G16" i="1" s="1"/>
  <c r="H16" i="1" s="1"/>
  <c r="E17" i="1"/>
  <c r="F17" i="1"/>
  <c r="F2" i="1"/>
  <c r="F18" i="1" s="1"/>
  <c r="F3" i="1"/>
  <c r="G3" i="1" s="1"/>
  <c r="H3" i="1" s="1"/>
  <c r="F4" i="1"/>
  <c r="F5" i="1"/>
  <c r="F6" i="1"/>
  <c r="F7" i="1"/>
  <c r="F8" i="1"/>
  <c r="F9" i="1"/>
  <c r="F10" i="1"/>
  <c r="F11" i="1"/>
  <c r="F12" i="1"/>
  <c r="F13" i="1"/>
  <c r="F14" i="1"/>
  <c r="G14" i="1" s="1"/>
  <c r="H14" i="1" s="1"/>
  <c r="F15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F3" i="2"/>
  <c r="G3" i="2"/>
  <c r="H3" i="2"/>
  <c r="H14" i="2"/>
  <c r="G14" i="2"/>
  <c r="F14" i="2"/>
  <c r="F11" i="2"/>
  <c r="G11" i="2" s="1"/>
  <c r="H11" i="2" s="1"/>
  <c r="F5" i="2"/>
  <c r="G5" i="2" s="1"/>
  <c r="F4" i="2"/>
  <c r="G4" i="2" s="1"/>
  <c r="F8" i="2"/>
  <c r="F9" i="2"/>
  <c r="G12" i="2"/>
  <c r="H12" i="2" s="1"/>
  <c r="F13" i="2"/>
  <c r="E13" i="2"/>
  <c r="E8" i="2"/>
  <c r="E9" i="2"/>
  <c r="G6" i="2"/>
  <c r="H6" i="2" s="1"/>
  <c r="H4" i="2"/>
  <c r="H5" i="2"/>
  <c r="G15" i="1" l="1"/>
  <c r="H15" i="1" s="1"/>
  <c r="G13" i="1"/>
  <c r="H13" i="1" s="1"/>
  <c r="G8" i="1"/>
  <c r="H8" i="1" s="1"/>
  <c r="G5" i="1"/>
  <c r="H5" i="1" s="1"/>
  <c r="G12" i="1"/>
  <c r="H12" i="1" s="1"/>
  <c r="G4" i="1"/>
  <c r="H4" i="1" s="1"/>
  <c r="G2" i="1"/>
  <c r="H2" i="1" s="1"/>
  <c r="G11" i="1"/>
  <c r="H11" i="1" s="1"/>
  <c r="G10" i="1"/>
  <c r="H10" i="1" s="1"/>
  <c r="G9" i="1"/>
  <c r="H9" i="1" s="1"/>
  <c r="G17" i="1"/>
  <c r="H17" i="1" s="1"/>
  <c r="G7" i="1"/>
  <c r="H7" i="1" s="1"/>
  <c r="G6" i="1"/>
  <c r="H6" i="1" s="1"/>
  <c r="G13" i="2"/>
  <c r="H13" i="2" s="1"/>
  <c r="G9" i="2"/>
  <c r="H9" i="2" s="1"/>
  <c r="G10" i="2"/>
  <c r="H10" i="2" s="1"/>
  <c r="G8" i="2"/>
  <c r="H8" i="2" s="1"/>
  <c r="G7" i="2"/>
  <c r="H7" i="2" s="1"/>
  <c r="H18" i="1" l="1"/>
  <c r="G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shuayb ahmed</author>
  </authors>
  <commentList>
    <comment ref="B17" authorId="0" shapeId="0" xr:uid="{DAC9E845-C6FD-4A10-B101-DB5C606DE4B6}">
      <text>
        <r>
          <rPr>
            <b/>
            <sz val="9"/>
            <color indexed="81"/>
            <rFont val="Tahoma"/>
            <charset val="1"/>
          </rPr>
          <t>shuayb ahmed: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270D92-164D-48D4-B069-1DCC2B585487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72CCC88-E8E1-4A65-B5B4-187C83688B22}" name="WorksheetConnection_Book1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Book1.xlsmTable11"/>
        </x15:connection>
      </ext>
    </extLst>
  </connection>
  <connection id="3" xr16:uid="{1C91F1C2-9CA7-4225-9C03-528434DE0A82}" name="WorksheetConnection_Book1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Book1.xlsmTable21"/>
        </x15:connection>
      </ext>
    </extLst>
  </connection>
</connections>
</file>

<file path=xl/sharedStrings.xml><?xml version="1.0" encoding="utf-8"?>
<sst xmlns="http://schemas.openxmlformats.org/spreadsheetml/2006/main" count="119" uniqueCount="25">
  <si>
    <t>date</t>
  </si>
  <si>
    <t>name</t>
  </si>
  <si>
    <t>prodect</t>
  </si>
  <si>
    <t>qty</t>
  </si>
  <si>
    <t>selling price</t>
  </si>
  <si>
    <t>cost price</t>
  </si>
  <si>
    <t>profit</t>
  </si>
  <si>
    <t>wali</t>
  </si>
  <si>
    <t>naafto</t>
  </si>
  <si>
    <t>cabdulahi</t>
  </si>
  <si>
    <t>farhan</t>
  </si>
  <si>
    <t>moham</t>
  </si>
  <si>
    <t>prpfit margin</t>
  </si>
  <si>
    <t>Row Labels</t>
  </si>
  <si>
    <t>(blank)</t>
  </si>
  <si>
    <t>Grand Total</t>
  </si>
  <si>
    <t>Sum of selling price</t>
  </si>
  <si>
    <t>Details for Sum of selling price - name: wali</t>
  </si>
  <si>
    <t>total</t>
  </si>
  <si>
    <t>Column Labels</t>
  </si>
  <si>
    <t>qiimaha</t>
  </si>
  <si>
    <t>wali cabdi odol</t>
  </si>
  <si>
    <t>TOTAL</t>
  </si>
  <si>
    <t>askari</t>
  </si>
  <si>
    <t>shuayb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</si>
</sst>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rgb="FF0033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27B3D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6" fontId="0" fillId="0" borderId="0" xfId="0" applyNumberFormat="1"/>
    <xf numFmtId="9" fontId="0" fillId="0" borderId="0" xfId="1" applyFont="1"/>
    <xf numFmtId="0" fontId="2" fillId="2" borderId="0" xfId="0" applyFont="1" applyFill="1"/>
    <xf numFmtId="0" fontId="0" fillId="3" borderId="0" xfId="0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0" fontId="0" fillId="0" borderId="0" xfId="1" applyNumberFormat="1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0" applyFont="1" applyFill="1"/>
    <xf numFmtId="0" fontId="0" fillId="8" borderId="0" xfId="0" applyFill="1"/>
    <xf numFmtId="0" fontId="4" fillId="0" borderId="0" xfId="0" applyFont="1"/>
    <xf numFmtId="0" fontId="4" fillId="9" borderId="0" xfId="0" applyFont="1" applyFill="1"/>
    <xf numFmtId="0" fontId="0" fillId="10" borderId="0" xfId="0" applyFill="1"/>
    <xf numFmtId="14" fontId="0" fillId="10" borderId="0" xfId="0" applyNumberFormat="1" applyFill="1"/>
    <xf numFmtId="0" fontId="0" fillId="11" borderId="0" xfId="0" applyFill="1"/>
    <xf numFmtId="9" fontId="1" fillId="11" borderId="0" xfId="0" applyNumberFormat="1" applyFont="1" applyFill="1"/>
  </cellXfs>
  <cellStyles count="2">
    <cellStyle name="Normal" xfId="0" builtinId="0"/>
    <cellStyle name="Percent" xfId="1" builtinId="5"/>
  </cellStyles>
  <dxfs count="27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rgb="FF0033CC"/>
        </patternFill>
      </fill>
    </dxf>
    <dxf>
      <fill>
        <patternFill patternType="solid">
          <fgColor indexed="64"/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5"/>
        </patternFill>
      </fill>
    </dxf>
    <dxf>
      <numFmt numFmtId="13" formatCode="0%"/>
    </dxf>
    <dxf>
      <numFmt numFmtId="0" formatCode="General"/>
      <fill>
        <patternFill patternType="solid">
          <fgColor indexed="64"/>
          <bgColor theme="5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5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5"/>
        </patternFill>
      </fill>
    </dxf>
    <dxf>
      <numFmt numFmtId="0" formatCode="General"/>
    </dxf>
    <dxf>
      <fill>
        <patternFill patternType="solid">
          <fgColor indexed="64"/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3C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CC"/>
      <color rgb="FFFFFF66"/>
      <color rgb="FFFF00FF"/>
      <color rgb="FF07A103"/>
      <color rgb="FF06EE22"/>
      <color rgb="FF27B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298450</xdr:colOff>
      <xdr:row>5</xdr:row>
      <xdr:rowOff>38100</xdr:rowOff>
    </xdr:from>
    <xdr:to>
      <xdr:col>11</xdr:col>
      <xdr:colOff>260350</xdr:colOff>
      <xdr:row>8</xdr:row>
      <xdr:rowOff>6350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5117517-22D9-F97E-78A7-47B2A62FBED5}"/>
            </a:ext>
          </a:extLst>
        </xdr:cNvPr>
        <xdr:cNvSpPr txBox="1"/>
      </xdr:nvSpPr>
      <xdr:spPr>
        <a:xfrm>
          <a:off x="6038850" y="946150"/>
          <a:ext cx="1790700" cy="520700"/>
        </a:xfrm>
        <a:prstGeom prst="rect">
          <a:avLst/>
        </a:prstGeom>
        <a:solidFill>
          <a:srgbClr val="07A103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         </a:t>
          </a:r>
          <a:r>
            <a:rPr lang="en-US" sz="1200">
              <a:solidFill>
                <a:schemeClr val="accent2"/>
              </a:solidFill>
              <a:latin typeface="Arial" panose="020B0604020202020204" pitchFamily="34" charset="0"/>
              <a:cs typeface="Arial" panose="020B0604020202020204" pitchFamily="34" charset="0"/>
            </a:rPr>
            <a:t>TOTAL </a:t>
          </a:r>
          <a:r>
            <a:rPr lang="en-US" sz="1100">
              <a:solidFill>
                <a:schemeClr val="accent2"/>
              </a:solidFill>
              <a:latin typeface="Arial" panose="020B0604020202020204" pitchFamily="34" charset="0"/>
              <a:cs typeface="Arial" panose="020B0604020202020204" pitchFamily="34" charset="0"/>
            </a:rPr>
            <a:t>SALES</a:t>
          </a:r>
          <a:endParaRPr lang="en-US" sz="1200">
            <a:solidFill>
              <a:schemeClr val="accent2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>
              <a:solidFill>
                <a:srgbClr val="92D050"/>
              </a:solidFill>
              <a:latin typeface="Arial" panose="020B0604020202020204" pitchFamily="34" charset="0"/>
              <a:cs typeface="Arial" panose="020B0604020202020204" pitchFamily="34" charset="0"/>
            </a:rPr>
            <a:t>       </a:t>
          </a:r>
          <a:r>
            <a:rPr lang="en-US" sz="1100">
              <a:effectLst/>
            </a:rPr>
            <a:t> </a:t>
          </a:r>
          <a:r>
            <a:rPr lang="en-US" sz="14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160000</a:t>
          </a:r>
          <a:r>
            <a:rPr lang="en-US" sz="1600">
              <a:solidFill>
                <a:schemeClr val="bg1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>
              <a:solidFill>
                <a:schemeClr val="bg2"/>
              </a:solidFill>
              <a:latin typeface="Arial Black" panose="020B0A04020102020204" pitchFamily="34" charset="0"/>
              <a:cs typeface="Arial" panose="020B0604020202020204" pitchFamily="34" charset="0"/>
            </a:rPr>
            <a:t> </a:t>
          </a:r>
          <a:r>
            <a:rPr lang="en-US" sz="1200">
              <a:solidFill>
                <a:schemeClr val="bg2"/>
              </a:solidFill>
              <a:latin typeface="Arial Black" panose="020B0A04020102020204" pitchFamily="34" charset="0"/>
              <a:cs typeface="Arial" panose="020B0604020202020204" pitchFamily="34" charset="0"/>
            </a:rPr>
            <a:t>ETB</a:t>
          </a:r>
        </a:p>
        <a:p>
          <a:endParaRPr lang="en-US" sz="1100">
            <a:solidFill>
              <a:srgbClr val="92D05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9</xdr:col>
      <xdr:colOff>146050</xdr:colOff>
      <xdr:row>7</xdr:row>
      <xdr:rowOff>63500</xdr:rowOff>
    </xdr:from>
    <xdr:to>
      <xdr:col>9</xdr:col>
      <xdr:colOff>215900</xdr:colOff>
      <xdr:row>7</xdr:row>
      <xdr:rowOff>133350</xdr:rowOff>
    </xdr:to>
    <xdr:pic>
      <xdr:nvPicPr>
        <xdr:cNvPr id="4" name="Graphic 3" descr="Bar graph with upward trend with solid fill">
          <a:extLst>
            <a:ext uri="{FF2B5EF4-FFF2-40B4-BE49-F238E27FC236}">
              <a16:creationId xmlns:a16="http://schemas.microsoft.com/office/drawing/2014/main" id="{D9EFC27A-67FD-600A-6BDC-0EBA3D16E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V="1">
          <a:off x="6496050" y="1339850"/>
          <a:ext cx="69850" cy="69850"/>
        </a:xfrm>
        <a:prstGeom prst="rect">
          <a:avLst/>
        </a:prstGeom>
      </xdr:spPr>
    </xdr:pic>
    <xdr:clientData/>
  </xdr:twoCellAnchor>
  <xdr:twoCellAnchor editAs="oneCell">
    <xdr:from>
      <xdr:col>8</xdr:col>
      <xdr:colOff>374650</xdr:colOff>
      <xdr:row>5</xdr:row>
      <xdr:rowOff>146050</xdr:rowOff>
    </xdr:from>
    <xdr:to>
      <xdr:col>9</xdr:col>
      <xdr:colOff>63500</xdr:colOff>
      <xdr:row>7</xdr:row>
      <xdr:rowOff>76200</xdr:rowOff>
    </xdr:to>
    <xdr:pic>
      <xdr:nvPicPr>
        <xdr:cNvPr id="6" name="Graphic 5" descr="Shopping cart with solid fill">
          <a:extLst>
            <a:ext uri="{FF2B5EF4-FFF2-40B4-BE49-F238E27FC236}">
              <a16:creationId xmlns:a16="http://schemas.microsoft.com/office/drawing/2014/main" id="{AA2B0EF4-5694-D553-3AA5-CE8E96878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15050" y="1054100"/>
          <a:ext cx="298450" cy="298450"/>
        </a:xfrm>
        <a:prstGeom prst="rect">
          <a:avLst/>
        </a:prstGeom>
      </xdr:spPr>
    </xdr:pic>
    <xdr:clientData/>
  </xdr:twoCellAnchor>
  <xdr:twoCellAnchor>
    <xdr:from>
      <xdr:col>11</xdr:col>
      <xdr:colOff>577850</xdr:colOff>
      <xdr:row>5</xdr:row>
      <xdr:rowOff>57151</xdr:rowOff>
    </xdr:from>
    <xdr:to>
      <xdr:col>14</xdr:col>
      <xdr:colOff>450850</xdr:colOff>
      <xdr:row>8</xdr:row>
      <xdr:rowOff>31751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31AE12C-7D84-3BF1-3215-A8261A22BA11}"/>
            </a:ext>
          </a:extLst>
        </xdr:cNvPr>
        <xdr:cNvSpPr txBox="1"/>
      </xdr:nvSpPr>
      <xdr:spPr>
        <a:xfrm>
          <a:off x="8147050" y="965201"/>
          <a:ext cx="1701800" cy="5270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             TOTAL PROFIT  </a:t>
          </a:r>
          <a:r>
            <a:rPr lang="en-US" sz="1100" baseline="0"/>
            <a:t>                                 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>
              <a:effectLst/>
            </a:rPr>
            <a:t> </a:t>
          </a:r>
          <a:r>
            <a:rPr lang="en-US" baseline="0">
              <a:effectLst/>
            </a:rPr>
            <a:t>         </a:t>
          </a:r>
          <a:r>
            <a:rPr lang="en-US" sz="1100"/>
            <a:t>                                     </a:t>
          </a:r>
        </a:p>
      </xdr:txBody>
    </xdr:sp>
    <xdr:clientData/>
  </xdr:twoCellAnchor>
  <xdr:twoCellAnchor editAs="oneCell">
    <xdr:from>
      <xdr:col>12</xdr:col>
      <xdr:colOff>19050</xdr:colOff>
      <xdr:row>5</xdr:row>
      <xdr:rowOff>171450</xdr:rowOff>
    </xdr:from>
    <xdr:to>
      <xdr:col>12</xdr:col>
      <xdr:colOff>400050</xdr:colOff>
      <xdr:row>8</xdr:row>
      <xdr:rowOff>0</xdr:rowOff>
    </xdr:to>
    <xdr:pic>
      <xdr:nvPicPr>
        <xdr:cNvPr id="9" name="Graphic 8" descr="Bar graph with upward trend with solid fill">
          <a:extLst>
            <a:ext uri="{FF2B5EF4-FFF2-40B4-BE49-F238E27FC236}">
              <a16:creationId xmlns:a16="http://schemas.microsoft.com/office/drawing/2014/main" id="{6058593C-EC34-4D81-ADD0-D252E8AB6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197850" y="1079500"/>
          <a:ext cx="381000" cy="381000"/>
        </a:xfrm>
        <a:prstGeom prst="rect">
          <a:avLst/>
        </a:prstGeom>
      </xdr:spPr>
    </xdr:pic>
    <xdr:clientData/>
  </xdr:twoCellAnchor>
  <xdr:oneCellAnchor>
    <xdr:from>
      <xdr:col>11</xdr:col>
      <xdr:colOff>84070</xdr:colOff>
      <xdr:row>4</xdr:row>
      <xdr:rowOff>70935</xdr:rowOff>
    </xdr:from>
    <xdr:ext cx="2009910" cy="938715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BE4C984E-E399-F47F-8777-A66761BBEFC9}"/>
            </a:ext>
          </a:extLst>
        </xdr:cNvPr>
        <xdr:cNvSpPr/>
      </xdr:nvSpPr>
      <xdr:spPr>
        <a:xfrm>
          <a:off x="7653270" y="794835"/>
          <a:ext cx="2009910" cy="93871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54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>
    <xdr:from>
      <xdr:col>10</xdr:col>
      <xdr:colOff>246381</xdr:colOff>
      <xdr:row>9</xdr:row>
      <xdr:rowOff>146050</xdr:rowOff>
    </xdr:from>
    <xdr:to>
      <xdr:col>10</xdr:col>
      <xdr:colOff>336550</xdr:colOff>
      <xdr:row>10</xdr:row>
      <xdr:rowOff>7619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714BF19A-97FE-28D2-8103-7488A9F5C5A4}"/>
            </a:ext>
          </a:extLst>
        </xdr:cNvPr>
        <xdr:cNvSpPr txBox="1"/>
      </xdr:nvSpPr>
      <xdr:spPr>
        <a:xfrm>
          <a:off x="7205981" y="1790700"/>
          <a:ext cx="9016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oneCellAnchor>
    <xdr:from>
      <xdr:col>12</xdr:col>
      <xdr:colOff>98312</xdr:colOff>
      <xdr:row>3</xdr:row>
      <xdr:rowOff>114300</xdr:rowOff>
    </xdr:from>
    <xdr:ext cx="1920988" cy="1174750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3C89B2BD-8263-756E-5756-7C9578CD93B5}"/>
            </a:ext>
          </a:extLst>
        </xdr:cNvPr>
        <xdr:cNvSpPr/>
      </xdr:nvSpPr>
      <xdr:spPr>
        <a:xfrm>
          <a:off x="8277112" y="654050"/>
          <a:ext cx="1920988" cy="11747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200" b="1" i="0" u="sng" strike="noStrike">
              <a:solidFill>
                <a:schemeClr val="accen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17600 ETB</a:t>
          </a:r>
          <a:r>
            <a:rPr lang="en-US" sz="5400">
              <a:effectLst/>
            </a:rPr>
            <a:t> </a:t>
          </a:r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38100</xdr:colOff>
      <xdr:row>2</xdr:row>
      <xdr:rowOff>31750</xdr:rowOff>
    </xdr:from>
    <xdr:to>
      <xdr:col>14</xdr:col>
      <xdr:colOff>57150</xdr:colOff>
      <xdr:row>3</xdr:row>
      <xdr:rowOff>139700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1DDEAD3B-A335-0A26-DDE5-778EC28431CB}"/>
            </a:ext>
          </a:extLst>
        </xdr:cNvPr>
        <xdr:cNvSpPr txBox="1"/>
      </xdr:nvSpPr>
      <xdr:spPr>
        <a:xfrm>
          <a:off x="6997700" y="387350"/>
          <a:ext cx="2457450" cy="292100"/>
        </a:xfrm>
        <a:prstGeom prst="rect">
          <a:avLst/>
        </a:prstGeom>
        <a:solidFill>
          <a:srgbClr val="07A103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                   </a:t>
          </a:r>
          <a:r>
            <a:rPr lang="en-US" sz="1200">
              <a:solidFill>
                <a:schemeClr val="bg2"/>
              </a:solidFill>
              <a:latin typeface="Arial Black" panose="020B0A04020102020204" pitchFamily="34" charset="0"/>
              <a:cs typeface="Arial" panose="020B0604020202020204" pitchFamily="34" charset="0"/>
            </a:rPr>
            <a:t>SUMMARY</a:t>
          </a:r>
          <a:endParaRPr lang="en-US" sz="1100">
            <a:solidFill>
              <a:schemeClr val="bg2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292100</xdr:colOff>
      <xdr:row>9</xdr:row>
      <xdr:rowOff>69850</xdr:rowOff>
    </xdr:from>
    <xdr:to>
      <xdr:col>11</xdr:col>
      <xdr:colOff>336550</xdr:colOff>
      <xdr:row>12</xdr:row>
      <xdr:rowOff>50800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E631B65-4ED0-E444-C5B2-2D5314865657}"/>
            </a:ext>
          </a:extLst>
        </xdr:cNvPr>
        <xdr:cNvSpPr txBox="1"/>
      </xdr:nvSpPr>
      <xdr:spPr>
        <a:xfrm>
          <a:off x="6032500" y="1714500"/>
          <a:ext cx="1873250" cy="533400"/>
        </a:xfrm>
        <a:prstGeom prst="rect">
          <a:avLst/>
        </a:prstGeom>
        <a:solidFill>
          <a:srgbClr val="FFFF6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latin typeface="+mn-lt"/>
            </a:rPr>
            <a:t>             </a:t>
          </a:r>
          <a:r>
            <a:rPr lang="en-US" sz="1200">
              <a:solidFill>
                <a:srgbClr val="FF00FF"/>
              </a:solidFill>
              <a:latin typeface="+mn-lt"/>
            </a:rPr>
            <a:t>TOTAL COST                </a:t>
          </a:r>
        </a:p>
        <a:p>
          <a:r>
            <a:rPr lang="en-US" sz="1400">
              <a:solidFill>
                <a:srgbClr val="FF00FF"/>
              </a:solidFill>
              <a:latin typeface="Arial Black" panose="020B0A04020102020204" pitchFamily="34" charset="0"/>
            </a:rPr>
            <a:t>        </a:t>
          </a:r>
          <a:r>
            <a:rPr lang="en-US" sz="1200" b="0" i="0" u="none" strike="noStrike">
              <a:solidFill>
                <a:srgbClr val="FF00FF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142400ETB</a:t>
          </a:r>
          <a:r>
            <a:rPr lang="en-US" sz="1400">
              <a:solidFill>
                <a:srgbClr val="FF00FF"/>
              </a:solidFill>
              <a:effectLst/>
              <a:latin typeface="Arial Black" panose="020B0A04020102020204" pitchFamily="34" charset="0"/>
            </a:rPr>
            <a:t> </a:t>
          </a:r>
          <a:endParaRPr lang="en-US" sz="1400">
            <a:solidFill>
              <a:srgbClr val="FF00FF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8</xdr:col>
      <xdr:colOff>330200</xdr:colOff>
      <xdr:row>9</xdr:row>
      <xdr:rowOff>50800</xdr:rowOff>
    </xdr:from>
    <xdr:to>
      <xdr:col>9</xdr:col>
      <xdr:colOff>209550</xdr:colOff>
      <xdr:row>11</xdr:row>
      <xdr:rowOff>171450</xdr:rowOff>
    </xdr:to>
    <xdr:pic>
      <xdr:nvPicPr>
        <xdr:cNvPr id="30" name="Graphic 29" descr="Money with solid fill">
          <a:extLst>
            <a:ext uri="{FF2B5EF4-FFF2-40B4-BE49-F238E27FC236}">
              <a16:creationId xmlns:a16="http://schemas.microsoft.com/office/drawing/2014/main" id="{CC90CC11-F809-9AFD-9846-42EDDC335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70600" y="1695450"/>
          <a:ext cx="488950" cy="488950"/>
        </a:xfrm>
        <a:prstGeom prst="rect">
          <a:avLst/>
        </a:prstGeom>
        <a:ln>
          <a:noFill/>
        </a:ln>
        <a:effectLst/>
      </xdr:spPr>
    </xdr:pic>
    <xdr:clientData/>
  </xdr:twoCellAnchor>
  <xdr:twoCellAnchor>
    <xdr:from>
      <xdr:col>10</xdr:col>
      <xdr:colOff>582931</xdr:colOff>
      <xdr:row>9</xdr:row>
      <xdr:rowOff>158750</xdr:rowOff>
    </xdr:from>
    <xdr:to>
      <xdr:col>11</xdr:col>
      <xdr:colOff>19050</xdr:colOff>
      <xdr:row>10</xdr:row>
      <xdr:rowOff>20319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6435B09A-33F5-432E-82DF-5FD5BF9C528F}"/>
            </a:ext>
          </a:extLst>
        </xdr:cNvPr>
        <xdr:cNvSpPr txBox="1"/>
      </xdr:nvSpPr>
      <xdr:spPr>
        <a:xfrm flipH="1">
          <a:off x="7542531" y="1803400"/>
          <a:ext cx="45719" cy="45719"/>
        </a:xfrm>
        <a:prstGeom prst="rect">
          <a:avLst/>
        </a:prstGeom>
        <a:solidFill>
          <a:srgbClr val="FFFF6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latin typeface="+mn-lt"/>
            </a:rPr>
            <a:t>             </a:t>
          </a:r>
          <a:endParaRPr lang="en-US" sz="1200">
            <a:solidFill>
              <a:srgbClr val="FF00FF"/>
            </a:solidFill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4</xdr:row>
      <xdr:rowOff>0</xdr:rowOff>
    </xdr:from>
    <xdr:to>
      <xdr:col>7</xdr:col>
      <xdr:colOff>196850</xdr:colOff>
      <xdr:row>8</xdr:row>
      <xdr:rowOff>177800</xdr:rowOff>
    </xdr:to>
    <xdr:pic>
      <xdr:nvPicPr>
        <xdr:cNvPr id="3" name="Graphic 2" descr="Bar graph with upward trend with solid fill">
          <a:extLst>
            <a:ext uri="{FF2B5EF4-FFF2-40B4-BE49-F238E27FC236}">
              <a16:creationId xmlns:a16="http://schemas.microsoft.com/office/drawing/2014/main" id="{98B2B347-50E3-108D-F3B0-11A648900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89450" y="736600"/>
          <a:ext cx="914400" cy="914400"/>
        </a:xfrm>
        <a:prstGeom prst="rect">
          <a:avLst/>
        </a:prstGeom>
      </xdr:spPr>
    </xdr:pic>
    <xdr:clientData/>
  </xdr:twoCellAnchor>
  <xdr:twoCellAnchor>
    <xdr:from>
      <xdr:col>6</xdr:col>
      <xdr:colOff>31750</xdr:colOff>
      <xdr:row>2</xdr:row>
      <xdr:rowOff>177800</xdr:rowOff>
    </xdr:from>
    <xdr:to>
      <xdr:col>7</xdr:col>
      <xdr:colOff>698500</xdr:colOff>
      <xdr:row>4</xdr:row>
      <xdr:rowOff>88900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7F58E55-865F-636A-D05A-F7D3243C5DAD}"/>
            </a:ext>
          </a:extLst>
        </xdr:cNvPr>
        <xdr:cNvSpPr txBox="1"/>
      </xdr:nvSpPr>
      <xdr:spPr>
        <a:xfrm>
          <a:off x="4521200" y="546100"/>
          <a:ext cx="1384300" cy="27940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by shuayb ahmed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45085</xdr:colOff>
      <xdr:row>4</xdr:row>
      <xdr:rowOff>180657</xdr:rowOff>
    </xdr:from>
    <xdr:to>
      <xdr:col>9</xdr:col>
      <xdr:colOff>158432</xdr:colOff>
      <xdr:row>8</xdr:row>
      <xdr:rowOff>177482</xdr:rowOff>
    </xdr:to>
    <xdr:sp macro="" textlink="">
      <xdr:nvSpPr>
        <xdr:cNvPr id="5" name="Freeform: Shape 4">
          <a:extLst>
            <a:ext uri="{FF2B5EF4-FFF2-40B4-BE49-F238E27FC236}">
              <a16:creationId xmlns:a16="http://schemas.microsoft.com/office/drawing/2014/main" id="{ADF01FCA-778C-9A83-51F2-AC3D5B5937E5}"/>
            </a:ext>
          </a:extLst>
        </xdr:cNvPr>
        <xdr:cNvSpPr/>
      </xdr:nvSpPr>
      <xdr:spPr>
        <a:xfrm>
          <a:off x="6668135" y="917257"/>
          <a:ext cx="722947" cy="733425"/>
        </a:xfrm>
        <a:custGeom>
          <a:avLst/>
          <a:gdLst>
            <a:gd name="csX0" fmla="*/ 62865 w 722947"/>
            <a:gd name="csY0" fmla="*/ 0 h 733425"/>
            <a:gd name="csX1" fmla="*/ 0 w 722947"/>
            <a:gd name="csY1" fmla="*/ 0 h 733425"/>
            <a:gd name="csX2" fmla="*/ 0 w 722947"/>
            <a:gd name="csY2" fmla="*/ 733425 h 733425"/>
            <a:gd name="csX3" fmla="*/ 722948 w 722947"/>
            <a:gd name="csY3" fmla="*/ 733425 h 733425"/>
            <a:gd name="csX4" fmla="*/ 722948 w 722947"/>
            <a:gd name="csY4" fmla="*/ 670560 h 733425"/>
            <a:gd name="csX5" fmla="*/ 62865 w 722947"/>
            <a:gd name="csY5" fmla="*/ 670560 h 733425"/>
            <a:gd name="csX6" fmla="*/ 62865 w 722947"/>
            <a:gd name="csY6" fmla="*/ 0 h 7334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722947" h="733425">
              <a:moveTo>
                <a:pt x="62865" y="0"/>
              </a:moveTo>
              <a:lnTo>
                <a:pt x="0" y="0"/>
              </a:lnTo>
              <a:lnTo>
                <a:pt x="0" y="733425"/>
              </a:lnTo>
              <a:lnTo>
                <a:pt x="722948" y="733425"/>
              </a:lnTo>
              <a:lnTo>
                <a:pt x="722948" y="670560"/>
              </a:lnTo>
              <a:lnTo>
                <a:pt x="62865" y="670560"/>
              </a:lnTo>
              <a:lnTo>
                <a:pt x="62865" y="0"/>
              </a:lnTo>
              <a:close/>
            </a:path>
          </a:pathLst>
        </a:custGeom>
        <a:solidFill>
          <a:srgbClr val="FFFF00"/>
        </a:solidFill>
        <a:ln w="13891" cap="flat">
          <a:solidFill>
            <a:schemeClr val="accent2"/>
          </a:solidFill>
          <a:prstDash val="solid"/>
          <a:miter/>
        </a:ln>
      </xdr:spPr>
    </xdr:sp>
    <xdr:clientData/>
  </xdr:twoCellAnchor>
  <xdr:twoCellAnchor>
    <xdr:from>
      <xdr:col>8</xdr:col>
      <xdr:colOff>521970</xdr:colOff>
      <xdr:row>5</xdr:row>
      <xdr:rowOff>40957</xdr:rowOff>
    </xdr:from>
    <xdr:to>
      <xdr:col>9</xdr:col>
      <xdr:colOff>69532</xdr:colOff>
      <xdr:row>8</xdr:row>
      <xdr:rowOff>96202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D91D87B-12A4-DA08-633A-262E3A76051A}"/>
            </a:ext>
          </a:extLst>
        </xdr:cNvPr>
        <xdr:cNvSpPr/>
      </xdr:nvSpPr>
      <xdr:spPr>
        <a:xfrm rot="10800000">
          <a:off x="7145020" y="961707"/>
          <a:ext cx="157162" cy="607695"/>
        </a:xfrm>
        <a:prstGeom prst="rect">
          <a:avLst/>
        </a:prstGeom>
        <a:solidFill>
          <a:srgbClr val="FFFF00"/>
        </a:solidFill>
        <a:ln w="13891" cap="flat">
          <a:solidFill>
            <a:schemeClr val="accent2"/>
          </a:solidFill>
          <a:prstDash val="solid"/>
          <a:miter/>
        </a:ln>
      </xdr:spPr>
    </xdr:sp>
    <xdr:clientData/>
  </xdr:twoCellAnchor>
  <xdr:twoCellAnchor>
    <xdr:from>
      <xdr:col>8</xdr:col>
      <xdr:colOff>333692</xdr:colOff>
      <xdr:row>6</xdr:row>
      <xdr:rowOff>79057</xdr:rowOff>
    </xdr:from>
    <xdr:to>
      <xdr:col>8</xdr:col>
      <xdr:colOff>490854</xdr:colOff>
      <xdr:row>8</xdr:row>
      <xdr:rowOff>108902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869D112-8409-3C11-4DCF-4ED1EFB463B5}"/>
            </a:ext>
          </a:extLst>
        </xdr:cNvPr>
        <xdr:cNvSpPr/>
      </xdr:nvSpPr>
      <xdr:spPr>
        <a:xfrm rot="10800000">
          <a:off x="6956742" y="1183957"/>
          <a:ext cx="157162" cy="398145"/>
        </a:xfrm>
        <a:prstGeom prst="rect">
          <a:avLst/>
        </a:prstGeom>
        <a:solidFill>
          <a:srgbClr val="FFFF00"/>
        </a:solidFill>
        <a:ln w="13891" cap="flat">
          <a:solidFill>
            <a:schemeClr val="accent2"/>
          </a:solidFill>
          <a:prstDash val="solid"/>
          <a:miter/>
        </a:ln>
      </xdr:spPr>
    </xdr:sp>
    <xdr:clientData/>
  </xdr:twoCellAnchor>
  <xdr:twoCellAnchor>
    <xdr:from>
      <xdr:col>8</xdr:col>
      <xdr:colOff>120015</xdr:colOff>
      <xdr:row>7</xdr:row>
      <xdr:rowOff>89852</xdr:rowOff>
    </xdr:from>
    <xdr:to>
      <xdr:col>8</xdr:col>
      <xdr:colOff>277177</xdr:colOff>
      <xdr:row>8</xdr:row>
      <xdr:rowOff>115252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592ED07-3321-0EDB-7239-8E21AAC9B72A}"/>
            </a:ext>
          </a:extLst>
        </xdr:cNvPr>
        <xdr:cNvSpPr/>
      </xdr:nvSpPr>
      <xdr:spPr>
        <a:xfrm rot="10800000">
          <a:off x="6743065" y="1378902"/>
          <a:ext cx="157162" cy="209550"/>
        </a:xfrm>
        <a:prstGeom prst="rect">
          <a:avLst/>
        </a:prstGeom>
        <a:solidFill>
          <a:srgbClr val="FFFF00"/>
        </a:solidFill>
        <a:ln w="13891" cap="flat">
          <a:solidFill>
            <a:schemeClr val="accent2"/>
          </a:solidFill>
          <a:prstDash val="solid"/>
          <a:miter/>
        </a:ln>
      </xdr:spPr>
    </xdr:sp>
    <xdr:clientData/>
  </xdr:twoCellAnchor>
  <xdr:twoCellAnchor>
    <xdr:from>
      <xdr:col>8</xdr:col>
      <xdr:colOff>134769</xdr:colOff>
      <xdr:row>5</xdr:row>
      <xdr:rowOff>9207</xdr:rowOff>
    </xdr:from>
    <xdr:to>
      <xdr:col>8</xdr:col>
      <xdr:colOff>474344</xdr:colOff>
      <xdr:row>6</xdr:row>
      <xdr:rowOff>164632</xdr:rowOff>
    </xdr:to>
    <xdr:sp macro="" textlink="">
      <xdr:nvSpPr>
        <xdr:cNvPr id="9" name="Freeform: Shape 8">
          <a:extLst>
            <a:ext uri="{FF2B5EF4-FFF2-40B4-BE49-F238E27FC236}">
              <a16:creationId xmlns:a16="http://schemas.microsoft.com/office/drawing/2014/main" id="{64A0B97F-AD4D-614D-E1CF-2F3FB15C6BCC}"/>
            </a:ext>
          </a:extLst>
        </xdr:cNvPr>
        <xdr:cNvSpPr/>
      </xdr:nvSpPr>
      <xdr:spPr>
        <a:xfrm>
          <a:off x="6757819" y="929957"/>
          <a:ext cx="339575" cy="339575"/>
        </a:xfrm>
        <a:custGeom>
          <a:avLst/>
          <a:gdLst>
            <a:gd name="csX0" fmla="*/ 339576 w 339575"/>
            <a:gd name="csY0" fmla="*/ 143961 h 339575"/>
            <a:gd name="csX1" fmla="*/ 339576 w 339575"/>
            <a:gd name="csY1" fmla="*/ 0 h 339575"/>
            <a:gd name="csX2" fmla="*/ 195615 w 339575"/>
            <a:gd name="csY2" fmla="*/ 0 h 339575"/>
            <a:gd name="csX3" fmla="*/ 252822 w 339575"/>
            <a:gd name="csY3" fmla="*/ 57207 h 339575"/>
            <a:gd name="csX4" fmla="*/ 0 w 339575"/>
            <a:gd name="csY4" fmla="*/ 310029 h 339575"/>
            <a:gd name="csX5" fmla="*/ 29547 w 339575"/>
            <a:gd name="csY5" fmla="*/ 339576 h 339575"/>
            <a:gd name="csX6" fmla="*/ 282369 w 339575"/>
            <a:gd name="csY6" fmla="*/ 86858 h 339575"/>
            <a:gd name="csX7" fmla="*/ 339576 w 339575"/>
            <a:gd name="csY7" fmla="*/ 143961 h 3395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339575" h="339575">
              <a:moveTo>
                <a:pt x="339576" y="143961"/>
              </a:moveTo>
              <a:lnTo>
                <a:pt x="339576" y="0"/>
              </a:lnTo>
              <a:lnTo>
                <a:pt x="195615" y="0"/>
              </a:lnTo>
              <a:lnTo>
                <a:pt x="252822" y="57207"/>
              </a:lnTo>
              <a:lnTo>
                <a:pt x="0" y="310029"/>
              </a:lnTo>
              <a:lnTo>
                <a:pt x="29547" y="339576"/>
              </a:lnTo>
              <a:lnTo>
                <a:pt x="282369" y="86858"/>
              </a:lnTo>
              <a:lnTo>
                <a:pt x="339576" y="143961"/>
              </a:lnTo>
              <a:close/>
            </a:path>
          </a:pathLst>
        </a:custGeom>
        <a:solidFill>
          <a:srgbClr val="FFFF00"/>
        </a:solidFill>
        <a:ln w="13891" cap="flat">
          <a:solidFill>
            <a:schemeClr val="accent2"/>
          </a:solidFill>
          <a:prstDash val="solid"/>
          <a:miter/>
        </a:ln>
      </xdr:spPr>
    </xdr:sp>
    <xdr:clientData/>
  </xdr:twoCellAnchor>
  <xdr:twoCellAnchor>
    <xdr:from>
      <xdr:col>8</xdr:col>
      <xdr:colOff>25399</xdr:colOff>
      <xdr:row>2</xdr:row>
      <xdr:rowOff>90012</xdr:rowOff>
    </xdr:from>
    <xdr:to>
      <xdr:col>10</xdr:col>
      <xdr:colOff>184149</xdr:colOff>
      <xdr:row>3</xdr:row>
      <xdr:rowOff>147162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2B10DB2-668B-DC3B-94B5-B28E0AD4F250}"/>
            </a:ext>
          </a:extLst>
        </xdr:cNvPr>
        <xdr:cNvSpPr txBox="1"/>
      </xdr:nvSpPr>
      <xdr:spPr>
        <a:xfrm rot="20246288">
          <a:off x="6648449" y="458312"/>
          <a:ext cx="1377950" cy="241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1" u="sng">
              <a:latin typeface="Arial" panose="020B0604020202020204" pitchFamily="34" charset="0"/>
              <a:cs typeface="Arial" panose="020B0604020202020204" pitchFamily="34" charset="0"/>
            </a:rPr>
            <a:t>by</a:t>
          </a:r>
          <a:r>
            <a:rPr lang="en-US" sz="1100" b="1" i="1" u="sng" baseline="0">
              <a:latin typeface="Arial" panose="020B0604020202020204" pitchFamily="34" charset="0"/>
              <a:cs typeface="Arial" panose="020B0604020202020204" pitchFamily="34" charset="0"/>
            </a:rPr>
            <a:t> shuayb ahmed</a:t>
          </a:r>
          <a:endParaRPr lang="en-US" sz="1100" b="1" i="1" u="sng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uayb ahmed" refreshedDate="46207.724876273147" createdVersion="8" refreshedVersion="8" minRefreshableVersion="3" recordCount="13" xr:uid="{40564429-3640-47B3-883D-1A3782EE7011}">
  <cacheSource type="worksheet">
    <worksheetSource name="Table2"/>
  </cacheSource>
  <cacheFields count="8">
    <cacheField name="date" numFmtId="0">
      <sharedItems containsNonDate="0" containsDate="1" containsString="0" containsBlank="1" minDate="2026-07-02T00:00:00" maxDate="2026-07-05T00:00:00"/>
    </cacheField>
    <cacheField name="name" numFmtId="0">
      <sharedItems containsBlank="1" count="5">
        <s v="wali"/>
        <s v="cabdulahi"/>
        <s v="moham"/>
        <s v="farhan"/>
        <m/>
      </sharedItems>
    </cacheField>
    <cacheField name="prodect" numFmtId="0">
      <sharedItems containsBlank="1"/>
    </cacheField>
    <cacheField name="qty" numFmtId="0">
      <sharedItems containsString="0" containsBlank="1" containsNumber="1" containsInteger="1" minValue="1" maxValue="5"/>
    </cacheField>
    <cacheField name="selling price" numFmtId="0">
      <sharedItems containsString="0" containsBlank="1" containsNumber="1" containsInteger="1" minValue="4000" maxValue="20000"/>
    </cacheField>
    <cacheField name="cost price" numFmtId="0">
      <sharedItems containsString="0" containsBlank="1" containsNumber="1" containsInteger="1" minValue="3560" maxValue="17800" count="5">
        <n v="10680"/>
        <n v="3560"/>
        <n v="14240"/>
        <n v="17800"/>
        <m/>
      </sharedItems>
    </cacheField>
    <cacheField name="profit" numFmtId="0">
      <sharedItems containsSemiMixedTypes="0" containsString="0" containsNumber="1" containsInteger="1" minValue="0" maxValue="2200"/>
    </cacheField>
    <cacheField name="prpfit margin" numFmtId="9">
      <sharedItems containsString="0" containsBlank="1" containsNumber="1" minValue="0.11" maxValue="0.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huayb ahmed" refreshedDate="46207.725605208332" backgroundQuery="1" createdVersion="8" refreshedVersion="8" minRefreshableVersion="3" recordCount="0" supportSubquery="1" supportAdvancedDrill="1" xr:uid="{D0920C29-EF9B-4B03-B068-131C14D85C9F}">
  <cacheSource type="external" connectionId="1"/>
  <cacheFields count="1">
    <cacheField name="[Table1].[name].[name]" caption="name" numFmtId="0" hierarchy="1" level="1">
      <sharedItems containsBlank="1" count="5">
        <m/>
        <s v="cabdulahi"/>
        <s v="farhan"/>
        <s v="moham"/>
        <s v="wali"/>
      </sharedItems>
    </cacheField>
  </cacheFields>
  <cacheHierarchies count="19">
    <cacheHierarchy uniqueName="[Table1].[date]" caption="date" attribute="1" time="1" defaultMemberUniqueName="[Table1].[date].[All]" allUniqueName="[Table1].[date].[All]" dimensionUniqueName="[Table1]" displayFolder="" count="0" memberValueDatatype="7" unbalanced="0"/>
    <cacheHierarchy uniqueName="[Table1].[name]" caption="name" attribute="1" defaultMemberUniqueName="[Table1].[name].[All]" allUniqueName="[Table1].[name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prodect]" caption="prodect" attribute="1" defaultMemberUniqueName="[Table1].[prodect].[All]" allUniqueName="[Table1].[prodect].[All]" dimensionUniqueName="[Table1]" displayFolder="" count="0" memberValueDatatype="130" unbalanced="0"/>
    <cacheHierarchy uniqueName="[Table1].[qty]" caption="qty" attribute="1" defaultMemberUniqueName="[Table1].[qty].[All]" allUniqueName="[Table1].[qty].[All]" dimensionUniqueName="[Table1]" displayFolder="" count="0" memberValueDatatype="20" unbalanced="0"/>
    <cacheHierarchy uniqueName="[Table1].[selling price]" caption="selling price" attribute="1" defaultMemberUniqueName="[Table1].[selling price].[All]" allUniqueName="[Table1].[selling price].[All]" dimensionUniqueName="[Table1]" displayFolder="" count="0" memberValueDatatype="20" unbalanced="0"/>
    <cacheHierarchy uniqueName="[Table1].[cost price]" caption="cost price" attribute="1" defaultMemberUniqueName="[Table1].[cost price].[All]" allUniqueName="[Table1].[cost price].[All]" dimensionUniqueName="[Table1]" displayFolder="" count="0" memberValueDatatype="20" unbalanced="0"/>
    <cacheHierarchy uniqueName="[Table1].[profit]" caption="profit" attribute="1" defaultMemberUniqueName="[Table1].[profit].[All]" allUniqueName="[Table1].[profit].[All]" dimensionUniqueName="[Table1]" displayFolder="" count="0" memberValueDatatype="20" unbalanced="0"/>
    <cacheHierarchy uniqueName="[Table1].[profit margin]" caption="profit margin" attribute="1" defaultMemberUniqueName="[Table1].[profit margin].[All]" allUniqueName="[Table1].[profit margin].[All]" dimensionUniqueName="[Table1]" displayFolder="" count="0" memberValueDatatype="130" unbalanced="0"/>
    <cacheHierarchy uniqueName="[Table2].[date]" caption="date" attribute="1" time="1" defaultMemberUniqueName="[Table2].[date].[All]" allUniqueName="[Table2].[date].[All]" dimensionUniqueName="[Table2]" displayFolder="" count="0" memberValueDatatype="7" unbalanced="0"/>
    <cacheHierarchy uniqueName="[Table2].[name]" caption="name" attribute="1" defaultMemberUniqueName="[Table2].[name].[All]" allUniqueName="[Table2].[name].[All]" dimensionUniqueName="[Table2]" displayFolder="" count="0" memberValueDatatype="130" unbalanced="0"/>
    <cacheHierarchy uniqueName="[Table2].[prodect]" caption="prodect" attribute="1" defaultMemberUniqueName="[Table2].[prodect].[All]" allUniqueName="[Table2].[prodect].[All]" dimensionUniqueName="[Table2]" displayFolder="" count="0" memberValueDatatype="130" unbalanced="0"/>
    <cacheHierarchy uniqueName="[Table2].[qty]" caption="qty" attribute="1" defaultMemberUniqueName="[Table2].[qty].[All]" allUniqueName="[Table2].[qty].[All]" dimensionUniqueName="[Table2]" displayFolder="" count="0" memberValueDatatype="20" unbalanced="0"/>
    <cacheHierarchy uniqueName="[Table2].[selling price]" caption="selling price" attribute="1" defaultMemberUniqueName="[Table2].[selling price].[All]" allUniqueName="[Table2].[selling price].[All]" dimensionUniqueName="[Table2]" displayFolder="" count="0" memberValueDatatype="20" unbalanced="0"/>
    <cacheHierarchy uniqueName="[Table2].[cost price]" caption="cost price" attribute="1" defaultMemberUniqueName="[Table2].[cost price].[All]" allUniqueName="[Table2].[cost price].[All]" dimensionUniqueName="[Table2]" displayFolder="" count="0" memberValueDatatype="20" unbalanced="0"/>
    <cacheHierarchy uniqueName="[Table2].[profit]" caption="profit" attribute="1" defaultMemberUniqueName="[Table2].[profit].[All]" allUniqueName="[Table2].[profit].[All]" dimensionUniqueName="[Table2]" displayFolder="" count="0" memberValueDatatype="20" unbalanced="0"/>
    <cacheHierarchy uniqueName="[Table2].[prpfit margin]" caption="prpfit margin" attribute="1" defaultMemberUniqueName="[Table2].[prpfit margin].[All]" allUniqueName="[Table2].[prpfit margin].[All]" dimensionUniqueName="[Table2]" displayFolder="" count="0" memberValueDatatype="5" unbalanced="0"/>
    <cacheHierarchy uniqueName="[Measures].[__XL_Count Table2]" caption="__XL_Count Table2" measure="1" displayFolder="" measureGroup="Table2" count="0" hidden="1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Table1" uniqueName="[Table1]" caption="Table1"/>
    <dimension name="Table2" uniqueName="[Table2]" caption="Table2"/>
  </dimensions>
  <measureGroups count="2">
    <measureGroup name="Table1" caption="Table1"/>
    <measureGroup name="Table2" caption="Table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d v="2026-07-04T00:00:00"/>
    <x v="0"/>
    <s v="naafto"/>
    <n v="3"/>
    <n v="12000"/>
    <x v="0"/>
    <n v="1320"/>
    <n v="0.11"/>
  </r>
  <r>
    <d v="2026-07-02T00:00:00"/>
    <x v="1"/>
    <s v="naafto"/>
    <n v="1"/>
    <n v="4000"/>
    <x v="1"/>
    <n v="440"/>
    <n v="0.11"/>
  </r>
  <r>
    <d v="2026-07-03T00:00:00"/>
    <x v="0"/>
    <s v="naafto"/>
    <n v="4"/>
    <n v="16000"/>
    <x v="2"/>
    <n v="1760"/>
    <n v="0.11"/>
  </r>
  <r>
    <d v="2026-07-04T00:00:00"/>
    <x v="2"/>
    <s v="naafto"/>
    <n v="1"/>
    <n v="4000"/>
    <x v="1"/>
    <n v="440"/>
    <n v="0.11"/>
  </r>
  <r>
    <d v="2026-07-04T00:00:00"/>
    <x v="3"/>
    <s v="naafto"/>
    <n v="1"/>
    <n v="4000"/>
    <x v="1"/>
    <n v="440"/>
    <n v="0.11"/>
  </r>
  <r>
    <d v="2026-07-04T00:00:00"/>
    <x v="0"/>
    <s v="naafto"/>
    <n v="5"/>
    <n v="20000"/>
    <x v="3"/>
    <n v="2200"/>
    <n v="0.11"/>
  </r>
  <r>
    <m/>
    <x v="4"/>
    <m/>
    <m/>
    <m/>
    <x v="4"/>
    <n v="0"/>
    <m/>
  </r>
  <r>
    <m/>
    <x v="4"/>
    <m/>
    <m/>
    <m/>
    <x v="4"/>
    <n v="0"/>
    <m/>
  </r>
  <r>
    <m/>
    <x v="4"/>
    <m/>
    <m/>
    <m/>
    <x v="4"/>
    <n v="0"/>
    <m/>
  </r>
  <r>
    <m/>
    <x v="4"/>
    <m/>
    <m/>
    <m/>
    <x v="4"/>
    <n v="0"/>
    <m/>
  </r>
  <r>
    <m/>
    <x v="4"/>
    <m/>
    <m/>
    <m/>
    <x v="4"/>
    <n v="0"/>
    <m/>
  </r>
  <r>
    <m/>
    <x v="4"/>
    <m/>
    <m/>
    <m/>
    <x v="4"/>
    <n v="0"/>
    <m/>
  </r>
  <r>
    <m/>
    <x v="4"/>
    <m/>
    <m/>
    <m/>
    <x v="4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1B007-9E39-4C45-A4A4-F227E15264A4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9" firstHeaderRow="1" firstDataRow="1" firstDataCol="1"/>
  <pivotFields count="1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pivotHierarchies count="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2]"/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74929-7917-4D7F-BD4F-22CDCAD10C44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0" firstHeaderRow="1" firstDataRow="2" firstDataCol="1"/>
  <pivotFields count="8">
    <pivotField showAll="0"/>
    <pivotField axis="axisRow" showAll="0">
      <items count="6">
        <item x="1"/>
        <item x="3"/>
        <item x="2"/>
        <item x="0"/>
        <item x="4"/>
        <item t="default"/>
      </items>
    </pivotField>
    <pivotField showAll="0"/>
    <pivotField showAll="0"/>
    <pivotField dataField="1" showAll="0"/>
    <pivotField axis="axisCol" showAll="0">
      <items count="6">
        <item x="1"/>
        <item x="0"/>
        <item x="2"/>
        <item x="3"/>
        <item x="4"/>
        <item t="default"/>
      </items>
    </pivotField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selling pric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5BD16EE-B0E5-43F1-B2D2-08B4A67F19EF}" name="Table7" displayName="Table7" ref="A1:H18" totalsRowCount="1">
  <autoFilter ref="A1:H17" xr:uid="{45BD16EE-B0E5-43F1-B2D2-08B4A67F19EF}"/>
  <tableColumns count="8">
    <tableColumn id="1" xr3:uid="{A30A090D-F61C-47A6-AB3C-29D3F815022D}" name="date" totalsRowLabel="TOTAL"/>
    <tableColumn id="2" xr3:uid="{0F319032-85F6-4B75-8556-BD553EA6C906}" name="name" totalsRowFunction="custom">
      <totalsRowFormula>-Table7[[#Totals],[prodect]]</totalsRowFormula>
    </tableColumn>
    <tableColumn id="3" xr3:uid="{2E25C7F0-0FAE-407F-A8E2-666EA9C42B4D}" name="prodect" totalsRowDxfId="25"/>
    <tableColumn id="4" xr3:uid="{FF7EFD60-35E8-437D-B560-319B334FDB28}" name="qty" totalsRowFunction="custom" totalsRowDxfId="24">
      <totalsRowFormula>SUM(D2:D17)</totalsRowFormula>
    </tableColumn>
    <tableColumn id="5" xr3:uid="{30045A68-52B9-46E7-A8CC-2675C46F546D}" name="selling price" totalsRowFunction="custom" dataDxfId="23" totalsRowDxfId="22">
      <calculatedColumnFormula>Table7[[#This Row],[qty]]*4000</calculatedColumnFormula>
      <totalsRowFormula>SUM(E2:E17)</totalsRowFormula>
    </tableColumn>
    <tableColumn id="6" xr3:uid="{578D3BF4-B499-4504-8E12-390BD9E524BC}" name="cost price" totalsRowFunction="custom" dataDxfId="21" totalsRowDxfId="20">
      <calculatedColumnFormula>Table7[[#This Row],[qty]]*3560</calculatedColumnFormula>
      <totalsRowFormula>SUM(F2:F17)</totalsRowFormula>
    </tableColumn>
    <tableColumn id="7" xr3:uid="{37B6B4B6-5F46-4358-8C89-C145A2EB3F1E}" name="profit" totalsRowFunction="custom" dataDxfId="19" totalsRowDxfId="18">
      <calculatedColumnFormula>Table7[[#This Row],[selling price]]-Table7[[#This Row],[cost price]]</calculatedColumnFormula>
      <totalsRowFormula>SUM(G2:G17)</totalsRowFormula>
    </tableColumn>
    <tableColumn id="8" xr3:uid="{5F17D5C2-1BB1-4B71-9693-E716DA7AE8F7}" name="prpfit margin" totalsRowFunction="custom" dataDxfId="17" totalsRowDxfId="16" dataCellStyle="Percent">
      <calculatedColumnFormula>Table7[[#This Row],[profit]]/Table7[[#This Row],[selling price]]</calculatedColumnFormula>
      <totalsRowFormula>SUM(H2:H17)</totalsRow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D287451-966A-4945-9FA6-DDE77FD2451E}" name="Table8" displayName="Table8" ref="B5:F10" totalsRowCount="1">
  <autoFilter ref="B5:F9" xr:uid="{8D287451-966A-4945-9FA6-DDE77FD2451E}"/>
  <tableColumns count="5">
    <tableColumn id="1" xr3:uid="{199041A6-CA9F-48E0-B4AE-F1BAD7C8F362}" name="date"/>
    <tableColumn id="2" xr3:uid="{D8453581-BE36-442D-B8BE-C2E97CACA069}" name="name"/>
    <tableColumn id="3" xr3:uid="{D0FDDFB2-15FE-42BF-A7B0-1D46D4382371}" name="prodect"/>
    <tableColumn id="4" xr3:uid="{E2B13FBD-EDED-4F76-806E-F777CB7F6ACB}" name="qty"/>
    <tableColumn id="5" xr3:uid="{9544ABD1-FBAF-44FD-9F26-D65D0061ADA6}" name="qiimaha" dataDxfId="15">
      <calculatedColumnFormula>Table8[[#This Row],[qty]]*4000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531136-D6C3-4D30-B1E0-2024E09EB87F}" name="Table3" displayName="Table3" ref="A3:H7" totalsRowShown="0" headerRowDxfId="14" dataDxfId="13" headerRowCellStyle="Percent" dataCellStyle="Percent">
  <autoFilter ref="A3:H7" xr:uid="{16531136-D6C3-4D30-B1E0-2024E09EB87F}"/>
  <tableColumns count="8">
    <tableColumn id="1" xr3:uid="{7AAD4C3C-7AF0-4C76-BCA2-9D7EC4F5A4A6}" name="date" dataDxfId="12" dataCellStyle="Percent"/>
    <tableColumn id="2" xr3:uid="{2A3B5F9F-7AFA-4D0E-B5A5-67BE7E026F65}" name="name" dataDxfId="11" dataCellStyle="Percent"/>
    <tableColumn id="3" xr3:uid="{4DBEE6DE-A2D9-457F-BFDA-5D70C76C9411}" name="prodect" dataDxfId="10" dataCellStyle="Percent"/>
    <tableColumn id="4" xr3:uid="{15EC4517-E252-451B-A932-795560BD7C79}" name="qty" dataDxfId="9" dataCellStyle="Percent"/>
    <tableColumn id="5" xr3:uid="{8898DD50-C26D-4954-BEE2-CA750603F504}" name="selling price" dataDxfId="8" dataCellStyle="Percent"/>
    <tableColumn id="6" xr3:uid="{83021CF7-B9C1-43BA-8465-3971721D1624}" name="cost price" dataDxfId="7" dataCellStyle="Percent"/>
    <tableColumn id="7" xr3:uid="{885F5746-8027-485F-9CD4-3CEA394293D4}" name="profit" dataDxfId="6" dataCellStyle="Percent"/>
    <tableColumn id="8" xr3:uid="{67F383EE-8511-4E3D-A372-21F5E901AAAF}" name="prpfit margin" dataDxfId="5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2897A8-7513-4357-970F-C143D2ADAA18}" name="Table2" displayName="Table2" ref="A2:H15" totalsRowShown="0">
  <autoFilter ref="A2:H15" xr:uid="{A72897A8-7513-4357-970F-C143D2ADAA18}"/>
  <tableColumns count="8">
    <tableColumn id="1" xr3:uid="{C78B30C2-A1A0-4BA8-9AF5-6C4280B153A2}" name="date"/>
    <tableColumn id="2" xr3:uid="{B07624E4-27BC-4699-BDB4-1578CF53F40A}" name="name" dataDxfId="3"/>
    <tableColumn id="3" xr3:uid="{3E2FDD9E-92C3-4226-BBD4-846782148686}" name="prodect" dataDxfId="2"/>
    <tableColumn id="4" xr3:uid="{2297DBFD-148D-46FA-8DCF-F076965C3501}" name="qty"/>
    <tableColumn id="5" xr3:uid="{BEE29877-A38F-4350-9F4D-C088FF7E1AA7}" name="selling price"/>
    <tableColumn id="6" xr3:uid="{9F0F5390-EAB8-45EC-8104-F0EDCF702866}" name="cost price" dataDxfId="1">
      <calculatedColumnFormula>5*3560</calculatedColumnFormula>
    </tableColumn>
    <tableColumn id="7" xr3:uid="{C22CEFB3-9EA2-48FA-9AAA-04B007F49DF6}" name="profit" dataDxfId="0">
      <calculatedColumnFormula>Table2[[#This Row],[selling price]]-Table2[[#This Row],[cost price]]</calculatedColumnFormula>
    </tableColumn>
    <tableColumn id="8" xr3:uid="{8676CC51-CEF7-4342-87DF-6AE69C07512B}" name="prpfit margin" dataCellStyle="Perce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ABB7-3B42-4BBD-A275-C843CEB590EE}">
  <sheetPr codeName="Sheet1"/>
  <dimension ref="A1:H18"/>
  <sheetViews>
    <sheetView tabSelected="1" zoomScale="96" zoomScaleNormal="100" workbookViewId="0">
      <selection activeCell="G10" sqref="G10"/>
    </sheetView>
  </sheetViews>
  <sheetFormatPr defaultRowHeight="14.5" x14ac:dyDescent="0.35"/>
  <cols>
    <col min="1" max="7" width="10.26953125" customWidth="1"/>
    <col min="8" max="8" width="10.26953125" style="2" customWidth="1"/>
  </cols>
  <sheetData>
    <row r="1" spans="1:8" x14ac:dyDescent="0.35">
      <c r="A1" s="11" t="s">
        <v>0</v>
      </c>
      <c r="B1" s="12" t="s">
        <v>1</v>
      </c>
      <c r="C1" s="13" t="s">
        <v>2</v>
      </c>
      <c r="D1" s="14" t="s">
        <v>3</v>
      </c>
      <c r="E1" s="15" t="s">
        <v>4</v>
      </c>
      <c r="F1" s="16" t="s">
        <v>5</v>
      </c>
      <c r="G1" s="17" t="s">
        <v>6</v>
      </c>
      <c r="H1" s="2" t="s">
        <v>12</v>
      </c>
    </row>
    <row r="2" spans="1:8" ht="13.5" customHeight="1" x14ac:dyDescent="0.35">
      <c r="A2" s="1">
        <v>46207</v>
      </c>
      <c r="B2" s="10" t="s">
        <v>7</v>
      </c>
      <c r="C2" s="3" t="s">
        <v>8</v>
      </c>
      <c r="D2">
        <v>3</v>
      </c>
      <c r="E2">
        <f>Table7[[#This Row],[qty]]*4000</f>
        <v>12000</v>
      </c>
      <c r="F2">
        <f>Table7[[#This Row],[qty]]*3560</f>
        <v>10680</v>
      </c>
      <c r="G2">
        <f>Table7[[#This Row],[selling price]]-Table7[[#This Row],[cost price]]</f>
        <v>1320</v>
      </c>
      <c r="H2" s="2">
        <f>Table7[[#This Row],[profit]]/Table7[[#This Row],[selling price]]</f>
        <v>0.11</v>
      </c>
    </row>
    <row r="3" spans="1:8" x14ac:dyDescent="0.35">
      <c r="A3" s="1">
        <v>46205</v>
      </c>
      <c r="B3" s="10" t="s">
        <v>9</v>
      </c>
      <c r="C3" s="3" t="s">
        <v>8</v>
      </c>
      <c r="D3">
        <v>1</v>
      </c>
      <c r="E3">
        <f>Table7[[#This Row],[qty]]*4000</f>
        <v>4000</v>
      </c>
      <c r="F3">
        <f>Table7[[#This Row],[qty]]*3560</f>
        <v>3560</v>
      </c>
      <c r="G3">
        <f>Table7[[#This Row],[selling price]]-Table7[[#This Row],[cost price]]</f>
        <v>440</v>
      </c>
      <c r="H3" s="2">
        <f>Table7[[#This Row],[profit]]/Table7[[#This Row],[selling price]]</f>
        <v>0.11</v>
      </c>
    </row>
    <row r="4" spans="1:8" x14ac:dyDescent="0.35">
      <c r="A4" s="1">
        <v>46206</v>
      </c>
      <c r="B4" s="10" t="s">
        <v>7</v>
      </c>
      <c r="C4" s="3" t="s">
        <v>8</v>
      </c>
      <c r="D4">
        <v>4</v>
      </c>
      <c r="E4">
        <f>Table7[[#This Row],[qty]]*4000</f>
        <v>16000</v>
      </c>
      <c r="F4">
        <f>Table7[[#This Row],[qty]]*3560</f>
        <v>14240</v>
      </c>
      <c r="G4">
        <f>Table7[[#This Row],[selling price]]-Table7[[#This Row],[cost price]]</f>
        <v>1760</v>
      </c>
      <c r="H4" s="2">
        <f>Table7[[#This Row],[profit]]/Table7[[#This Row],[selling price]]</f>
        <v>0.11</v>
      </c>
    </row>
    <row r="5" spans="1:8" x14ac:dyDescent="0.35">
      <c r="A5" s="1">
        <v>46207</v>
      </c>
      <c r="B5" s="10" t="s">
        <v>11</v>
      </c>
      <c r="C5" s="3" t="s">
        <v>8</v>
      </c>
      <c r="D5">
        <v>1</v>
      </c>
      <c r="E5">
        <f>Table7[[#This Row],[qty]]*4000</f>
        <v>4000</v>
      </c>
      <c r="F5">
        <f>Table7[[#This Row],[qty]]*3560</f>
        <v>3560</v>
      </c>
      <c r="G5">
        <f>Table7[[#This Row],[selling price]]-Table7[[#This Row],[cost price]]</f>
        <v>440</v>
      </c>
      <c r="H5" s="2">
        <f>Table7[[#This Row],[profit]]/Table7[[#This Row],[selling price]]</f>
        <v>0.11</v>
      </c>
    </row>
    <row r="6" spans="1:8" x14ac:dyDescent="0.35">
      <c r="A6" s="5">
        <v>46207</v>
      </c>
      <c r="B6" s="10" t="s">
        <v>10</v>
      </c>
      <c r="C6" s="3" t="s">
        <v>8</v>
      </c>
      <c r="D6">
        <v>1</v>
      </c>
      <c r="E6">
        <f>Table7[[#This Row],[qty]]*4000</f>
        <v>4000</v>
      </c>
      <c r="F6">
        <f>Table7[[#This Row],[qty]]*3560</f>
        <v>3560</v>
      </c>
      <c r="G6">
        <f>Table7[[#This Row],[selling price]]-Table7[[#This Row],[cost price]]</f>
        <v>440</v>
      </c>
      <c r="H6" s="2">
        <f>Table7[[#This Row],[profit]]/Table7[[#This Row],[selling price]]</f>
        <v>0.11</v>
      </c>
    </row>
    <row r="7" spans="1:8" x14ac:dyDescent="0.35">
      <c r="A7" s="5">
        <v>46207</v>
      </c>
      <c r="B7" s="10" t="s">
        <v>7</v>
      </c>
      <c r="C7" s="3" t="s">
        <v>8</v>
      </c>
      <c r="D7">
        <v>5</v>
      </c>
      <c r="E7">
        <f>Table7[[#This Row],[qty]]*4000</f>
        <v>20000</v>
      </c>
      <c r="F7">
        <f>Table7[[#This Row],[qty]]*3560</f>
        <v>17800</v>
      </c>
      <c r="G7">
        <f>Table7[[#This Row],[selling price]]-Table7[[#This Row],[cost price]]</f>
        <v>2200</v>
      </c>
      <c r="H7" s="2">
        <f>Table7[[#This Row],[profit]]/Table7[[#This Row],[selling price]]</f>
        <v>0.11</v>
      </c>
    </row>
    <row r="8" spans="1:8" x14ac:dyDescent="0.35">
      <c r="A8" s="5">
        <v>46208</v>
      </c>
      <c r="B8" s="10" t="s">
        <v>7</v>
      </c>
      <c r="C8" s="3" t="s">
        <v>8</v>
      </c>
      <c r="D8">
        <v>5</v>
      </c>
      <c r="E8">
        <f>Table7[[#This Row],[qty]]*4000</f>
        <v>20000</v>
      </c>
      <c r="F8">
        <f>Table7[[#This Row],[qty]]*3560</f>
        <v>17800</v>
      </c>
      <c r="G8">
        <f>Table7[[#This Row],[selling price]]-Table7[[#This Row],[cost price]]</f>
        <v>2200</v>
      </c>
      <c r="H8" s="2">
        <f>Table7[[#This Row],[profit]]/Table7[[#This Row],[selling price]]</f>
        <v>0.11</v>
      </c>
    </row>
    <row r="9" spans="1:8" x14ac:dyDescent="0.35">
      <c r="A9" s="5">
        <v>46208</v>
      </c>
      <c r="B9" s="10" t="s">
        <v>9</v>
      </c>
      <c r="C9" s="3" t="s">
        <v>8</v>
      </c>
      <c r="D9">
        <v>1</v>
      </c>
      <c r="E9">
        <f>Table7[[#This Row],[qty]]*4000</f>
        <v>4000</v>
      </c>
      <c r="F9">
        <f>Table7[[#This Row],[qty]]*3560</f>
        <v>3560</v>
      </c>
      <c r="G9">
        <f>Table7[[#This Row],[selling price]]-Table7[[#This Row],[cost price]]</f>
        <v>440</v>
      </c>
      <c r="H9" s="2">
        <f>Table7[[#This Row],[profit]]/Table7[[#This Row],[selling price]]</f>
        <v>0.11</v>
      </c>
    </row>
    <row r="10" spans="1:8" x14ac:dyDescent="0.35">
      <c r="A10" s="5">
        <v>46208</v>
      </c>
      <c r="B10" s="10" t="s">
        <v>11</v>
      </c>
      <c r="C10" s="3" t="s">
        <v>8</v>
      </c>
      <c r="D10">
        <v>2</v>
      </c>
      <c r="E10">
        <f>Table7[[#This Row],[qty]]*4000</f>
        <v>8000</v>
      </c>
      <c r="F10">
        <f>Table7[[#This Row],[qty]]*3560</f>
        <v>7120</v>
      </c>
      <c r="G10">
        <f>Table7[[#This Row],[selling price]]-Table7[[#This Row],[cost price]]</f>
        <v>880</v>
      </c>
      <c r="H10" s="2">
        <f>Table7[[#This Row],[profit]]/Table7[[#This Row],[selling price]]</f>
        <v>0.11</v>
      </c>
    </row>
    <row r="11" spans="1:8" x14ac:dyDescent="0.35">
      <c r="A11" s="5">
        <v>46208</v>
      </c>
      <c r="B11" s="10" t="s">
        <v>11</v>
      </c>
      <c r="C11" s="3" t="s">
        <v>8</v>
      </c>
      <c r="D11">
        <v>1</v>
      </c>
      <c r="E11">
        <f>Table7[[#This Row],[qty]]*4000</f>
        <v>4000</v>
      </c>
      <c r="F11">
        <f>Table7[[#This Row],[qty]]*3560</f>
        <v>3560</v>
      </c>
      <c r="G11">
        <f>Table7[[#This Row],[selling price]]-Table7[[#This Row],[cost price]]</f>
        <v>440</v>
      </c>
      <c r="H11" s="2">
        <f>Table7[[#This Row],[profit]]/Table7[[#This Row],[selling price]]</f>
        <v>0.11</v>
      </c>
    </row>
    <row r="12" spans="1:8" x14ac:dyDescent="0.35">
      <c r="A12" s="5">
        <v>46209</v>
      </c>
      <c r="B12" s="10" t="s">
        <v>7</v>
      </c>
      <c r="C12" s="3" t="s">
        <v>8</v>
      </c>
      <c r="D12">
        <v>5</v>
      </c>
      <c r="E12">
        <f>Table7[[#This Row],[qty]]*4000</f>
        <v>20000</v>
      </c>
      <c r="F12">
        <f>Table7[[#This Row],[qty]]*3560</f>
        <v>17800</v>
      </c>
      <c r="G12">
        <f>Table7[[#This Row],[selling price]]-Table7[[#This Row],[cost price]]</f>
        <v>2200</v>
      </c>
      <c r="H12" s="2">
        <f>Table7[[#This Row],[profit]]/Table7[[#This Row],[selling price]]</f>
        <v>0.11</v>
      </c>
    </row>
    <row r="13" spans="1:8" x14ac:dyDescent="0.35">
      <c r="A13" s="5">
        <v>46209</v>
      </c>
      <c r="B13" s="10" t="s">
        <v>11</v>
      </c>
      <c r="C13" s="3" t="s">
        <v>8</v>
      </c>
      <c r="D13">
        <v>2</v>
      </c>
      <c r="E13">
        <f>Table7[[#This Row],[qty]]*4000</f>
        <v>8000</v>
      </c>
      <c r="F13">
        <f>Table7[[#This Row],[qty]]*3560</f>
        <v>7120</v>
      </c>
      <c r="G13">
        <f>Table7[[#This Row],[selling price]]-Table7[[#This Row],[cost price]]</f>
        <v>880</v>
      </c>
      <c r="H13" s="2">
        <f>Table7[[#This Row],[profit]]/Table7[[#This Row],[selling price]]</f>
        <v>0.11</v>
      </c>
    </row>
    <row r="14" spans="1:8" x14ac:dyDescent="0.35">
      <c r="A14" s="5">
        <v>46210</v>
      </c>
      <c r="B14" s="4" t="s">
        <v>23</v>
      </c>
      <c r="C14" s="3" t="s">
        <v>8</v>
      </c>
      <c r="D14">
        <v>2</v>
      </c>
      <c r="E14">
        <f>Table7[[#This Row],[qty]]*4000</f>
        <v>8000</v>
      </c>
      <c r="F14">
        <f>Table7[[#This Row],[qty]]*3560</f>
        <v>7120</v>
      </c>
      <c r="G14">
        <f>Table7[[#This Row],[selling price]]-Table7[[#This Row],[cost price]]</f>
        <v>880</v>
      </c>
      <c r="H14" s="2">
        <f>Table7[[#This Row],[profit]]/Table7[[#This Row],[selling price]]</f>
        <v>0.11</v>
      </c>
    </row>
    <row r="15" spans="1:8" x14ac:dyDescent="0.35">
      <c r="A15" s="5">
        <v>46210</v>
      </c>
      <c r="B15" s="4" t="s">
        <v>7</v>
      </c>
      <c r="C15" s="3" t="s">
        <v>8</v>
      </c>
      <c r="D15">
        <v>5</v>
      </c>
      <c r="E15">
        <f>Table7[[#This Row],[qty]]*4000</f>
        <v>20000</v>
      </c>
      <c r="F15">
        <f>Table7[[#This Row],[qty]]*3560</f>
        <v>17800</v>
      </c>
      <c r="G15">
        <f>Table7[[#This Row],[selling price]]-Table7[[#This Row],[cost price]]</f>
        <v>2200</v>
      </c>
      <c r="H15" s="2">
        <f>Table7[[#This Row],[profit]]/Table7[[#This Row],[selling price]]</f>
        <v>0.11</v>
      </c>
    </row>
    <row r="16" spans="1:8" x14ac:dyDescent="0.35">
      <c r="A16" s="5">
        <v>46210</v>
      </c>
      <c r="B16" s="4" t="s">
        <v>24</v>
      </c>
      <c r="C16" s="3" t="s">
        <v>8</v>
      </c>
      <c r="D16">
        <v>1</v>
      </c>
      <c r="E16">
        <f>Table7[[#This Row],[qty]]*4000</f>
        <v>4000</v>
      </c>
      <c r="F16">
        <f>Table7[[#This Row],[qty]]*3560</f>
        <v>3560</v>
      </c>
      <c r="G16">
        <f>Table7[[#This Row],[selling price]]-Table7[[#This Row],[cost price]]</f>
        <v>440</v>
      </c>
      <c r="H16" s="2">
        <f>Table7[[#This Row],[profit]]/Table7[[#This Row],[selling price]]</f>
        <v>0.11</v>
      </c>
    </row>
    <row r="17" spans="1:8" x14ac:dyDescent="0.35">
      <c r="A17" s="5">
        <v>46210</v>
      </c>
      <c r="B17" s="4" t="s">
        <v>11</v>
      </c>
      <c r="C17" s="3" t="s">
        <v>8</v>
      </c>
      <c r="D17">
        <v>1</v>
      </c>
      <c r="E17">
        <f>Table7[[#This Row],[qty]]*4000</f>
        <v>4000</v>
      </c>
      <c r="F17">
        <f>Table7[[#This Row],[qty]]*3560</f>
        <v>3560</v>
      </c>
      <c r="G17">
        <f>Table7[[#This Row],[selling price]]-Table7[[#This Row],[cost price]]</f>
        <v>440</v>
      </c>
      <c r="H17" s="2">
        <f>Table7[[#This Row],[profit]]/Table7[[#This Row],[selling price]]</f>
        <v>0.11</v>
      </c>
    </row>
    <row r="18" spans="1:8" x14ac:dyDescent="0.35">
      <c r="A18" t="s">
        <v>22</v>
      </c>
      <c r="B18">
        <f>-Table7[[#Totals],[prodect]]</f>
        <v>0</v>
      </c>
      <c r="C18" s="3"/>
      <c r="D18" s="19">
        <f>SUM(D2:D17)</f>
        <v>40</v>
      </c>
      <c r="E18" s="19">
        <f>SUM(E2:E17)</f>
        <v>160000</v>
      </c>
      <c r="F18" s="19">
        <f>SUM(F2:F17)</f>
        <v>142400</v>
      </c>
      <c r="G18" s="19">
        <f>SUM(G2:G17)</f>
        <v>17600</v>
      </c>
      <c r="H18" s="20">
        <f>SUM(H2:H17)</f>
        <v>1.7600000000000007</v>
      </c>
    </row>
  </sheetData>
  <conditionalFormatting sqref="A2:D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D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{BC824AE8-A05B-48C0-8CCE-BC9E70BE686B}</x14:id>
        </ext>
      </extLst>
    </cfRule>
    <cfRule type="colorScale" priority="1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3:A4">
    <cfRule type="timePeriod" dxfId="26" priority="8" timePeriod="lastMonth">
      <formula>AND(MONTH(A3)=MONTH(EDATE(TODAY(),0-1)),YEAR(A3)=YEAR(EDATE(TODAY(),0-1)))</formula>
    </cfRule>
  </conditionalFormatting>
  <conditionalFormatting sqref="A3:D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:D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:D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{A44AE1F0-E2A9-4CBF-9E7F-EBEACD36B6DE}</x14:id>
        </ext>
      </extLst>
    </cfRule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6:D13">
    <cfRule type="colorScale" priority="6">
      <colorScale>
        <cfvo type="min"/>
        <cfvo type="max"/>
        <color rgb="FFFCFCFF"/>
        <color rgb="FFF8696B"/>
      </colorScale>
    </cfRule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{B0320C04-B5FC-4FF6-B794-0B2F7FE418BD}</x14:id>
        </ext>
      </extLst>
    </cfRule>
  </conditionalFormatting>
  <conditionalFormatting sqref="D6:D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H17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{69315F50-780C-4B7B-9D1F-11F81511A442}</x14:id>
        </ext>
      </extLst>
    </cfRule>
  </conditionalFormatting>
  <conditionalFormatting sqref="G2:H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D18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{CABA39FB-5D1A-4CAB-AA35-C792338BC35C}</x14:id>
        </ext>
      </extLst>
    </cfRule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824AE8-A05B-48C0-8CCE-BC9E70BE6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A2:D2</xm:sqref>
        </x14:conditionalFormatting>
        <x14:conditionalFormatting xmlns:xm="http://schemas.microsoft.com/office/excel/2006/main">
          <x14:cfRule type="dataBar" id="{A44AE1F0-E2A9-4CBF-9E7F-EBEACD36B6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A3:D5</xm:sqref>
        </x14:conditionalFormatting>
        <x14:conditionalFormatting xmlns:xm="http://schemas.microsoft.com/office/excel/2006/main">
          <x14:cfRule type="dataBar" id="{B0320C04-B5FC-4FF6-B794-0B2F7FE418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A6:D13</xm:sqref>
        </x14:conditionalFormatting>
        <x14:conditionalFormatting xmlns:xm="http://schemas.microsoft.com/office/excel/2006/main">
          <x14:cfRule type="dataBar" id="{69315F50-780C-4B7B-9D1F-11F81511A4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E2:H17</xm:sqref>
        </x14:conditionalFormatting>
        <x14:conditionalFormatting xmlns:xm="http://schemas.microsoft.com/office/excel/2006/main">
          <x14:cfRule type="dataBar" id="{CABA39FB-5D1A-4CAB-AA35-C792338BC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A14:D18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082E9-4D04-4F16-B2CE-E8E605826D77}">
  <sheetPr codeName="Sheet6"/>
  <dimension ref="B5:F9"/>
  <sheetViews>
    <sheetView workbookViewId="0">
      <selection activeCell="C3" sqref="C3"/>
    </sheetView>
  </sheetViews>
  <sheetFormatPr defaultRowHeight="14.5" x14ac:dyDescent="0.35"/>
  <cols>
    <col min="2" max="2" width="10.26953125" customWidth="1"/>
    <col min="3" max="3" width="14.453125" customWidth="1"/>
    <col min="4" max="9" width="10.26953125" customWidth="1"/>
  </cols>
  <sheetData>
    <row r="5" spans="2:6" x14ac:dyDescent="0.35">
      <c r="B5" s="11" t="s">
        <v>0</v>
      </c>
      <c r="C5" s="12" t="s">
        <v>1</v>
      </c>
      <c r="D5" s="13" t="s">
        <v>2</v>
      </c>
      <c r="E5" s="14" t="s">
        <v>3</v>
      </c>
      <c r="F5" t="s">
        <v>20</v>
      </c>
    </row>
    <row r="6" spans="2:6" x14ac:dyDescent="0.35">
      <c r="B6" s="1">
        <v>46208</v>
      </c>
      <c r="C6" t="s">
        <v>21</v>
      </c>
      <c r="D6" t="s">
        <v>8</v>
      </c>
      <c r="E6">
        <v>5</v>
      </c>
      <c r="F6">
        <f>Table8[[#This Row],[qty]]*4000</f>
        <v>20000</v>
      </c>
    </row>
    <row r="7" spans="2:6" x14ac:dyDescent="0.35">
      <c r="B7" s="1">
        <v>46209</v>
      </c>
      <c r="C7" t="s">
        <v>21</v>
      </c>
      <c r="D7" t="s">
        <v>8</v>
      </c>
      <c r="E7">
        <v>5</v>
      </c>
      <c r="F7">
        <f>Table8[[#This Row],[qty]]*4000</f>
        <v>20000</v>
      </c>
    </row>
    <row r="8" spans="2:6" x14ac:dyDescent="0.35">
      <c r="B8" s="18">
        <v>46210</v>
      </c>
      <c r="C8" s="17" t="s">
        <v>21</v>
      </c>
      <c r="D8" s="17" t="s">
        <v>8</v>
      </c>
      <c r="E8" s="17">
        <v>5</v>
      </c>
      <c r="F8" s="17">
        <v>20000</v>
      </c>
    </row>
    <row r="9" spans="2:6" x14ac:dyDescent="0.35">
      <c r="B9" s="17" t="s">
        <v>22</v>
      </c>
      <c r="C9" s="17"/>
      <c r="D9" s="17"/>
      <c r="E9" s="17">
        <v>15</v>
      </c>
      <c r="F9" s="17">
        <v>60000</v>
      </c>
    </row>
  </sheetData>
  <conditionalFormatting sqref="B6:F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{1EE8D22D-976D-43BD-9CB9-9D2E03A8FFCB}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E8D22D-976D-43BD-9CB9-9D2E03A8FFC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B6:F7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77353-CA0C-4A63-A0EC-4C2E6079BA2E}">
  <sheetPr codeName="Sheet3"/>
  <dimension ref="A3:A9"/>
  <sheetViews>
    <sheetView workbookViewId="0">
      <selection activeCell="A3" sqref="A3"/>
    </sheetView>
  </sheetViews>
  <sheetFormatPr defaultRowHeight="14.5" x14ac:dyDescent="0.35"/>
  <cols>
    <col min="1" max="1" width="12.36328125" bestFit="1" customWidth="1"/>
  </cols>
  <sheetData>
    <row r="3" spans="1:1" x14ac:dyDescent="0.35">
      <c r="A3" s="6" t="s">
        <v>13</v>
      </c>
    </row>
    <row r="4" spans="1:1" x14ac:dyDescent="0.35">
      <c r="A4" s="7" t="s">
        <v>14</v>
      </c>
    </row>
    <row r="5" spans="1:1" x14ac:dyDescent="0.35">
      <c r="A5" s="7" t="s">
        <v>9</v>
      </c>
    </row>
    <row r="6" spans="1:1" x14ac:dyDescent="0.35">
      <c r="A6" s="7" t="s">
        <v>10</v>
      </c>
    </row>
    <row r="7" spans="1:1" x14ac:dyDescent="0.35">
      <c r="A7" s="7" t="s">
        <v>11</v>
      </c>
    </row>
    <row r="8" spans="1:1" x14ac:dyDescent="0.35">
      <c r="A8" s="7" t="s">
        <v>7</v>
      </c>
    </row>
    <row r="9" spans="1:1" x14ac:dyDescent="0.35">
      <c r="A9" s="7" t="s"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73A58-2019-459E-BD44-D17EDF99B99B}">
  <sheetPr codeName="Sheet4"/>
  <dimension ref="A1:H7"/>
  <sheetViews>
    <sheetView workbookViewId="0">
      <selection activeCell="G4" sqref="G4"/>
    </sheetView>
  </sheetViews>
  <sheetFormatPr defaultRowHeight="14.5" x14ac:dyDescent="0.35"/>
  <cols>
    <col min="1" max="1" width="9.26953125" bestFit="1" customWidth="1"/>
    <col min="2" max="2" width="8.81640625" bestFit="1" customWidth="1"/>
    <col min="3" max="3" width="9.6328125" bestFit="1" customWidth="1"/>
    <col min="4" max="4" width="8.90625" bestFit="1" customWidth="1"/>
    <col min="5" max="5" width="12.90625" bestFit="1" customWidth="1"/>
    <col min="6" max="6" width="11.1796875" bestFit="1" customWidth="1"/>
    <col min="7" max="7" width="8.90625" bestFit="1" customWidth="1"/>
    <col min="8" max="8" width="14.1796875" bestFit="1" customWidth="1"/>
  </cols>
  <sheetData>
    <row r="1" spans="1:8" x14ac:dyDescent="0.35">
      <c r="A1" s="8" t="s">
        <v>17</v>
      </c>
    </row>
    <row r="3" spans="1:8" x14ac:dyDescent="0.35">
      <c r="A3" s="9" t="s">
        <v>0</v>
      </c>
      <c r="B3" s="9" t="s">
        <v>1</v>
      </c>
      <c r="C3" s="9" t="s">
        <v>2</v>
      </c>
      <c r="D3" s="9" t="s">
        <v>3</v>
      </c>
      <c r="E3" s="9" t="s">
        <v>4</v>
      </c>
      <c r="F3" s="9" t="s">
        <v>5</v>
      </c>
      <c r="G3" s="9" t="s">
        <v>6</v>
      </c>
      <c r="H3" s="9" t="s">
        <v>12</v>
      </c>
    </row>
    <row r="4" spans="1:8" x14ac:dyDescent="0.35">
      <c r="A4" s="9">
        <v>46057</v>
      </c>
      <c r="B4" s="9" t="s">
        <v>7</v>
      </c>
      <c r="C4" s="9" t="s">
        <v>8</v>
      </c>
      <c r="D4" s="9">
        <v>3</v>
      </c>
      <c r="E4" s="9">
        <v>12000</v>
      </c>
      <c r="F4" s="9">
        <v>10680</v>
      </c>
      <c r="G4" s="9">
        <v>1320</v>
      </c>
      <c r="H4" s="2">
        <v>0.11</v>
      </c>
    </row>
    <row r="5" spans="1:8" x14ac:dyDescent="0.35">
      <c r="A5" s="9">
        <v>46085</v>
      </c>
      <c r="B5" s="9" t="s">
        <v>7</v>
      </c>
      <c r="C5" s="9" t="s">
        <v>8</v>
      </c>
      <c r="D5" s="9">
        <v>4</v>
      </c>
      <c r="E5" s="9">
        <v>20000</v>
      </c>
      <c r="F5" s="9">
        <v>17800</v>
      </c>
      <c r="G5" s="9">
        <v>2200</v>
      </c>
      <c r="H5" s="2">
        <v>0.11</v>
      </c>
    </row>
    <row r="6" spans="1:8" x14ac:dyDescent="0.35">
      <c r="A6" s="9">
        <v>46116</v>
      </c>
      <c r="B6" s="9" t="s">
        <v>7</v>
      </c>
      <c r="C6" s="9" t="s">
        <v>8</v>
      </c>
      <c r="D6" s="9">
        <v>5</v>
      </c>
      <c r="E6" s="9">
        <v>16000</v>
      </c>
      <c r="F6" s="9">
        <v>14240</v>
      </c>
      <c r="G6" s="9">
        <v>1760</v>
      </c>
      <c r="H6" s="2">
        <v>0.11</v>
      </c>
    </row>
    <row r="7" spans="1:8" x14ac:dyDescent="0.35">
      <c r="A7" s="9" t="s">
        <v>18</v>
      </c>
      <c r="B7" s="9"/>
      <c r="C7" s="9"/>
      <c r="D7" s="9"/>
      <c r="E7" s="9"/>
      <c r="F7" s="9"/>
      <c r="G7" s="9"/>
      <c r="H7" s="9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ACB39-C167-447C-84F1-2653654C3845}">
  <sheetPr codeName="Sheet5"/>
  <dimension ref="A3:G10"/>
  <sheetViews>
    <sheetView workbookViewId="0">
      <selection activeCell="B8" sqref="B8"/>
    </sheetView>
  </sheetViews>
  <sheetFormatPr defaultRowHeight="14.5" x14ac:dyDescent="0.35"/>
  <cols>
    <col min="1" max="1" width="17" bestFit="1" customWidth="1"/>
    <col min="2" max="2" width="15.26953125" bestFit="1" customWidth="1"/>
    <col min="3" max="5" width="5.81640625" bestFit="1" customWidth="1"/>
    <col min="6" max="6" width="6.7265625" bestFit="1" customWidth="1"/>
    <col min="7" max="7" width="10.7265625" bestFit="1" customWidth="1"/>
  </cols>
  <sheetData>
    <row r="3" spans="1:7" x14ac:dyDescent="0.35">
      <c r="A3" s="6" t="s">
        <v>16</v>
      </c>
      <c r="B3" s="6" t="s">
        <v>19</v>
      </c>
    </row>
    <row r="4" spans="1:7" x14ac:dyDescent="0.35">
      <c r="A4" s="6" t="s">
        <v>13</v>
      </c>
      <c r="B4">
        <v>3560</v>
      </c>
      <c r="C4">
        <v>10680</v>
      </c>
      <c r="D4">
        <v>14240</v>
      </c>
      <c r="E4">
        <v>17800</v>
      </c>
      <c r="F4" t="s">
        <v>14</v>
      </c>
      <c r="G4" t="s">
        <v>15</v>
      </c>
    </row>
    <row r="5" spans="1:7" x14ac:dyDescent="0.35">
      <c r="A5" s="7" t="s">
        <v>9</v>
      </c>
      <c r="B5">
        <v>4000</v>
      </c>
      <c r="G5">
        <v>4000</v>
      </c>
    </row>
    <row r="6" spans="1:7" x14ac:dyDescent="0.35">
      <c r="A6" s="7" t="s">
        <v>10</v>
      </c>
      <c r="B6">
        <v>4000</v>
      </c>
      <c r="G6">
        <v>4000</v>
      </c>
    </row>
    <row r="7" spans="1:7" x14ac:dyDescent="0.35">
      <c r="A7" s="7" t="s">
        <v>11</v>
      </c>
      <c r="B7">
        <v>4000</v>
      </c>
      <c r="G7">
        <v>4000</v>
      </c>
    </row>
    <row r="8" spans="1:7" x14ac:dyDescent="0.35">
      <c r="A8" s="7" t="s">
        <v>7</v>
      </c>
      <c r="C8">
        <v>12000</v>
      </c>
      <c r="D8">
        <v>16000</v>
      </c>
      <c r="E8">
        <v>20000</v>
      </c>
      <c r="G8">
        <v>48000</v>
      </c>
    </row>
    <row r="9" spans="1:7" x14ac:dyDescent="0.35">
      <c r="A9" s="7" t="s">
        <v>14</v>
      </c>
    </row>
    <row r="10" spans="1:7" x14ac:dyDescent="0.35">
      <c r="A10" s="7" t="s">
        <v>15</v>
      </c>
      <c r="B10">
        <v>12000</v>
      </c>
      <c r="C10">
        <v>12000</v>
      </c>
      <c r="D10">
        <v>16000</v>
      </c>
      <c r="E10">
        <v>20000</v>
      </c>
      <c r="G10">
        <v>60000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8BD9-31F0-4688-BFA6-51E587F91E1A}">
  <sheetPr codeName="Sheet2"/>
  <dimension ref="A2:H15"/>
  <sheetViews>
    <sheetView workbookViewId="0">
      <selection activeCell="A2" sqref="A2:E2"/>
    </sheetView>
  </sheetViews>
  <sheetFormatPr defaultRowHeight="14.5" x14ac:dyDescent="0.35"/>
  <cols>
    <col min="1" max="4" width="10.26953125" customWidth="1"/>
    <col min="5" max="5" width="12.54296875" customWidth="1"/>
    <col min="6" max="6" width="10.26953125" customWidth="1"/>
    <col min="7" max="7" width="12.7265625" customWidth="1"/>
    <col min="8" max="8" width="18.1796875" style="2" customWidth="1"/>
  </cols>
  <sheetData>
    <row r="2" spans="1:8" x14ac:dyDescent="0.35">
      <c r="A2" s="11" t="s">
        <v>0</v>
      </c>
      <c r="B2" s="12" t="s">
        <v>1</v>
      </c>
      <c r="C2" s="13" t="s">
        <v>2</v>
      </c>
      <c r="D2" s="14" t="s">
        <v>3</v>
      </c>
      <c r="E2" s="15" t="s">
        <v>4</v>
      </c>
      <c r="F2" s="16" t="s">
        <v>5</v>
      </c>
      <c r="G2" s="17" t="s">
        <v>6</v>
      </c>
      <c r="H2" s="2" t="s">
        <v>12</v>
      </c>
    </row>
    <row r="3" spans="1:8" x14ac:dyDescent="0.35">
      <c r="A3" s="1">
        <v>46207</v>
      </c>
      <c r="B3" s="10" t="s">
        <v>7</v>
      </c>
      <c r="C3" s="3" t="s">
        <v>8</v>
      </c>
      <c r="D3">
        <v>3</v>
      </c>
      <c r="E3">
        <v>12000</v>
      </c>
      <c r="F3">
        <f>3*3560</f>
        <v>10680</v>
      </c>
      <c r="G3">
        <f>Table2[[#This Row],[selling price]]-Table2[[#This Row],[cost price]]</f>
        <v>1320</v>
      </c>
      <c r="H3" s="2" t="e">
        <f>#REF!/#REF!</f>
        <v>#REF!</v>
      </c>
    </row>
    <row r="4" spans="1:8" x14ac:dyDescent="0.35">
      <c r="A4" s="1">
        <v>46205</v>
      </c>
      <c r="B4" s="10" t="s">
        <v>9</v>
      </c>
      <c r="C4" s="3" t="s">
        <v>8</v>
      </c>
      <c r="D4">
        <v>1</v>
      </c>
      <c r="E4">
        <v>4000</v>
      </c>
      <c r="F4">
        <f>3560</f>
        <v>3560</v>
      </c>
      <c r="G4">
        <f>Table2[[#This Row],[selling price]]-Table2[[#This Row],[cost price]]</f>
        <v>440</v>
      </c>
      <c r="H4" s="2" t="e">
        <f>#REF!/#REF!</f>
        <v>#REF!</v>
      </c>
    </row>
    <row r="5" spans="1:8" x14ac:dyDescent="0.35">
      <c r="A5" s="1">
        <v>46206</v>
      </c>
      <c r="B5" s="10" t="s">
        <v>7</v>
      </c>
      <c r="C5" s="3" t="s">
        <v>8</v>
      </c>
      <c r="D5">
        <v>4</v>
      </c>
      <c r="E5">
        <v>16000</v>
      </c>
      <c r="F5">
        <f>4*3560</f>
        <v>14240</v>
      </c>
      <c r="G5">
        <f>Table2[[#This Row],[selling price]]-Table2[[#This Row],[cost price]]</f>
        <v>1760</v>
      </c>
      <c r="H5" s="2" t="e">
        <f>#REF!/#REF!</f>
        <v>#REF!</v>
      </c>
    </row>
    <row r="6" spans="1:8" x14ac:dyDescent="0.35">
      <c r="A6" s="1">
        <v>46207</v>
      </c>
      <c r="B6" s="10" t="s">
        <v>11</v>
      </c>
      <c r="C6" s="3" t="s">
        <v>8</v>
      </c>
      <c r="D6">
        <v>1</v>
      </c>
      <c r="E6">
        <v>4000</v>
      </c>
      <c r="F6">
        <v>3560</v>
      </c>
      <c r="G6">
        <f>Table2[[#This Row],[selling price]]-Table2[[#This Row],[cost price]]</f>
        <v>440</v>
      </c>
      <c r="H6" s="2">
        <f>Table2[[#This Row],[profit]]/Table2[[#This Row],[selling price]]</f>
        <v>0.11</v>
      </c>
    </row>
    <row r="7" spans="1:8" x14ac:dyDescent="0.35">
      <c r="A7" s="5">
        <v>46207</v>
      </c>
      <c r="B7" s="10" t="s">
        <v>10</v>
      </c>
      <c r="C7" s="3" t="s">
        <v>8</v>
      </c>
      <c r="D7">
        <v>1</v>
      </c>
      <c r="E7">
        <v>4000</v>
      </c>
      <c r="F7">
        <v>3560</v>
      </c>
      <c r="G7">
        <f>Table2[[#This Row],[selling price]]-Table2[[#This Row],[cost price]]</f>
        <v>440</v>
      </c>
      <c r="H7" s="2">
        <f>Table2[[#This Row],[profit]]/Table2[[#This Row],[selling price]]</f>
        <v>0.11</v>
      </c>
    </row>
    <row r="8" spans="1:8" x14ac:dyDescent="0.35">
      <c r="A8" s="5">
        <v>46207</v>
      </c>
      <c r="B8" s="10" t="s">
        <v>7</v>
      </c>
      <c r="C8" s="3" t="s">
        <v>8</v>
      </c>
      <c r="D8">
        <v>5</v>
      </c>
      <c r="E8">
        <f>5*4000</f>
        <v>20000</v>
      </c>
      <c r="F8">
        <f t="shared" ref="F8:F13" si="0">5*3560</f>
        <v>17800</v>
      </c>
      <c r="G8">
        <f>Table2[[#This Row],[selling price]]-Table2[[#This Row],[cost price]]</f>
        <v>2200</v>
      </c>
      <c r="H8" s="2">
        <f>Table2[[#This Row],[profit]]/Table2[[#This Row],[selling price]]</f>
        <v>0.11</v>
      </c>
    </row>
    <row r="9" spans="1:8" x14ac:dyDescent="0.35">
      <c r="A9" s="5">
        <v>46208</v>
      </c>
      <c r="B9" s="10" t="s">
        <v>7</v>
      </c>
      <c r="C9" s="3" t="s">
        <v>8</v>
      </c>
      <c r="D9">
        <v>5</v>
      </c>
      <c r="E9">
        <f>5*4000</f>
        <v>20000</v>
      </c>
      <c r="F9">
        <f t="shared" si="0"/>
        <v>17800</v>
      </c>
      <c r="G9">
        <f>Table2[[#This Row],[selling price]]-Table2[[#This Row],[cost price]]</f>
        <v>2200</v>
      </c>
      <c r="H9" s="2">
        <f>Table2[[#This Row],[profit]]/Table2[[#This Row],[cost price]]</f>
        <v>0.12359550561797752</v>
      </c>
    </row>
    <row r="10" spans="1:8" x14ac:dyDescent="0.35">
      <c r="A10" s="5">
        <v>46208</v>
      </c>
      <c r="B10" s="10" t="s">
        <v>9</v>
      </c>
      <c r="C10" s="3" t="s">
        <v>8</v>
      </c>
      <c r="D10">
        <v>1</v>
      </c>
      <c r="E10">
        <v>4000</v>
      </c>
      <c r="F10">
        <v>3560</v>
      </c>
      <c r="G10">
        <f>Table2[[#This Row],[selling price]]-Table2[[#This Row],[cost price]]</f>
        <v>440</v>
      </c>
      <c r="H10" s="2">
        <f>Table2[[#This Row],[profit]]/Table2[[#This Row],[selling price]]</f>
        <v>0.11</v>
      </c>
    </row>
    <row r="11" spans="1:8" x14ac:dyDescent="0.35">
      <c r="A11" s="5">
        <v>46208</v>
      </c>
      <c r="B11" s="10" t="s">
        <v>11</v>
      </c>
      <c r="C11" s="3" t="s">
        <v>8</v>
      </c>
      <c r="D11">
        <v>2</v>
      </c>
      <c r="E11">
        <v>8000</v>
      </c>
      <c r="F11">
        <f>2*3560</f>
        <v>7120</v>
      </c>
      <c r="G11">
        <f>Table2[[#This Row],[selling price]]-Table2[[#This Row],[cost price]]</f>
        <v>880</v>
      </c>
      <c r="H11" s="2">
        <f>Table2[[#This Row],[profit]]/Table2[[#This Row],[selling price]]</f>
        <v>0.11</v>
      </c>
    </row>
    <row r="12" spans="1:8" x14ac:dyDescent="0.35">
      <c r="A12" s="5">
        <v>46208</v>
      </c>
      <c r="B12" s="10" t="s">
        <v>11</v>
      </c>
      <c r="C12" s="3" t="s">
        <v>8</v>
      </c>
      <c r="D12">
        <v>1</v>
      </c>
      <c r="E12">
        <v>4000</v>
      </c>
      <c r="F12">
        <v>3560</v>
      </c>
      <c r="G12">
        <f>Table2[[#This Row],[selling price]]-Table2[[#This Row],[cost price]]</f>
        <v>440</v>
      </c>
      <c r="H12" s="2">
        <f>Table2[[#This Row],[profit]]/Table2[[#This Row],[selling price]]</f>
        <v>0.11</v>
      </c>
    </row>
    <row r="13" spans="1:8" x14ac:dyDescent="0.35">
      <c r="A13" s="5">
        <v>46209</v>
      </c>
      <c r="B13" s="10" t="s">
        <v>7</v>
      </c>
      <c r="C13" s="3" t="s">
        <v>8</v>
      </c>
      <c r="D13">
        <v>5</v>
      </c>
      <c r="E13">
        <f>5*4000</f>
        <v>20000</v>
      </c>
      <c r="F13">
        <f t="shared" si="0"/>
        <v>17800</v>
      </c>
      <c r="G13">
        <f>Table2[[#This Row],[selling price]]-Table2[[#This Row],[cost price]]</f>
        <v>2200</v>
      </c>
      <c r="H13" s="2">
        <f>Table2[[#This Row],[profit]]/Table2[[#This Row],[selling price]]</f>
        <v>0.11</v>
      </c>
    </row>
    <row r="14" spans="1:8" x14ac:dyDescent="0.35">
      <c r="A14" s="5">
        <v>46209</v>
      </c>
      <c r="B14" s="10" t="s">
        <v>11</v>
      </c>
      <c r="C14" s="3" t="s">
        <v>8</v>
      </c>
      <c r="D14">
        <v>2</v>
      </c>
      <c r="E14">
        <v>8000</v>
      </c>
      <c r="F14">
        <f>2*3560</f>
        <v>7120</v>
      </c>
      <c r="G14">
        <f>Table2[[#This Row],[selling price]]-Table2[[#This Row],[cost price]]</f>
        <v>880</v>
      </c>
      <c r="H14" s="2">
        <f>Table2[[#This Row],[profit]]/Table2[[#This Row],[selling price]]</f>
        <v>0.11</v>
      </c>
    </row>
    <row r="15" spans="1:8" x14ac:dyDescent="0.35">
      <c r="B15" s="10"/>
      <c r="C15" s="3"/>
    </row>
  </sheetData>
  <conditionalFormatting sqref="A4:A5">
    <cfRule type="timePeriod" dxfId="4" priority="10" timePeriod="lastMonth">
      <formula>AND(MONTH(A4)=MONTH(EDATE(TODAY(),0-1)),YEAR(A4)=YEAR(EDATE(TODAY(),0-1)))</formula>
    </cfRule>
  </conditionalFormatting>
  <conditionalFormatting sqref="A4:F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:H6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:H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{9A3280BB-F9E2-4164-B5B5-9B8474438117}</x14:id>
        </ext>
      </extLst>
    </cfRule>
    <cfRule type="colorScale" priority="2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7:H15">
    <cfRule type="colorScale" priority="4">
      <colorScale>
        <cfvo type="min"/>
        <cfvo type="max"/>
        <color rgb="FFFCFCFF"/>
        <color rgb="FFF8696B"/>
      </colorScale>
    </cfRule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{BFC26EC1-217B-43D0-9A78-4DAF4CA6505F}</x14:id>
        </ext>
      </extLst>
    </cfRule>
  </conditionalFormatting>
  <conditionalFormatting sqref="G7:H1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{9AF0CB3A-4C3F-4228-BB4C-85D88CEB58E4}</x14:id>
        </ext>
      </extLst>
    </cfRule>
  </conditionalFormatting>
  <conditionalFormatting sqref="H7:H15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{1A38D76C-D883-46EB-B04F-AB2C4858B40B}</x14:id>
        </ext>
      </extLst>
    </cfRule>
  </conditionalFormatting>
  <conditionalFormatting sqref="D7:D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3280BB-F9E2-4164-B5B5-9B84744381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A3:H6</xm:sqref>
        </x14:conditionalFormatting>
        <x14:conditionalFormatting xmlns:xm="http://schemas.microsoft.com/office/excel/2006/main">
          <x14:cfRule type="dataBar" id="{BFC26EC1-217B-43D0-9A78-4DAF4CA650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A7:H15</xm:sqref>
        </x14:conditionalFormatting>
        <x14:conditionalFormatting xmlns:xm="http://schemas.microsoft.com/office/excel/2006/main">
          <x14:cfRule type="dataBar" id="{9AF0CB3A-4C3F-4228-BB4C-85D88CEB58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G7:H15</xm:sqref>
        </x14:conditionalFormatting>
        <x14:conditionalFormatting xmlns:xm="http://schemas.microsoft.com/office/excel/2006/main">
          <x14:cfRule type="dataBar" id="{1A38D76C-D883-46EB-B04F-AB2C4858B4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H7:H15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5AE022-7EE8-4653-899F-988A7BD06C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Sheet5</vt:lpstr>
      <vt:lpstr>Sheet4</vt:lpstr>
      <vt:lpstr>Detail1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shucayb wali</dc:creator>
  <cp:keywords>#shuayb</cp:keywords>
  <cp:lastModifiedBy>shucayb wali</cp:lastModifiedBy>
  <dcterms:created xsi:type="dcterms:W3CDTF">2026-07-04T03:34:58Z</dcterms:created>
  <dcterms:modified xsi:type="dcterms:W3CDTF">2026-07-07T16:57:41Z</dcterms:modified>
</cp:coreProperties>
</file>